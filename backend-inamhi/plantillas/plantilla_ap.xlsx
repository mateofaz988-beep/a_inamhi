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stemas\Documents\inamhi rrhh\a_inamhi\backend-inamhi\plantillas\"/>
    </mc:Choice>
  </mc:AlternateContent>
  <xr:revisionPtr revIDLastSave="0" documentId="13_ncr:1_{A8BD0FE2-5E1D-4886-BBD5-7D1B931DA8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" sheetId="1" r:id="rId1"/>
    <sheet name="Hoja2" sheetId="2" state="hidden" r:id="rId2"/>
  </sheets>
  <definedNames>
    <definedName name="_xlnm.Print_Area" localSheetId="0">ap!$A$1:$P$119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0" i="1"/>
  <c r="C74" i="1"/>
  <c r="C75" i="1"/>
  <c r="B42" i="1"/>
  <c r="B40" i="1"/>
</calcChain>
</file>

<file path=xl/sharedStrings.xml><?xml version="1.0" encoding="utf-8"?>
<sst xmlns="http://schemas.openxmlformats.org/spreadsheetml/2006/main" count="189" uniqueCount="145">
  <si>
    <t>FECHA:</t>
  </si>
  <si>
    <t>APELLIDOS</t>
  </si>
  <si>
    <t>NOMBRES</t>
  </si>
  <si>
    <t>INGRESO</t>
  </si>
  <si>
    <t>ASCENSO</t>
  </si>
  <si>
    <t>ENCARGO</t>
  </si>
  <si>
    <t>VACACIONES</t>
  </si>
  <si>
    <t>TRASLADO</t>
  </si>
  <si>
    <t>TRASPASO</t>
  </si>
  <si>
    <t>CAMBIO ADMINISTRATIVO</t>
  </si>
  <si>
    <t>LICENCIA</t>
  </si>
  <si>
    <t>REINTEGRO</t>
  </si>
  <si>
    <t>SITUACION ACTUAL</t>
  </si>
  <si>
    <t>SITUACION PROPUESTA</t>
  </si>
  <si>
    <t>LUGAR:</t>
  </si>
  <si>
    <t>REVISIÓN CLASI. PUESTO</t>
  </si>
  <si>
    <t>EN CASO DE NEGATIVA DE LA RECEPCIÓN (TESTIGO)</t>
  </si>
  <si>
    <t xml:space="preserve">Nro. </t>
  </si>
  <si>
    <t>YO,</t>
  </si>
  <si>
    <t>REINGRESO</t>
  </si>
  <si>
    <t>RESTITUCIÓN</t>
  </si>
  <si>
    <t>INTERCAMBIO VOLUNTARIO</t>
  </si>
  <si>
    <t>COMISIÓN DE SERVICIOS</t>
  </si>
  <si>
    <t>SANCIONES</t>
  </si>
  <si>
    <t>INCREMENTO RMU</t>
  </si>
  <si>
    <t>SUBROGACIÓN</t>
  </si>
  <si>
    <t>CESACIÓN DE FUNCIONES</t>
  </si>
  <si>
    <t>DESTITUCIÓN</t>
  </si>
  <si>
    <t>ACCIÓN DE PERSONAL</t>
  </si>
  <si>
    <t>RIGE:</t>
  </si>
  <si>
    <t>FECHA DE ELABORACIÓN</t>
  </si>
  <si>
    <t xml:space="preserve">   DENOMINACIÓN DEL PUESTO:</t>
  </si>
  <si>
    <t xml:space="preserve">   REMUNERACIÓN MENSUAL:</t>
  </si>
  <si>
    <t xml:space="preserve">   GRUPO OCUPACIONAL:</t>
  </si>
  <si>
    <t xml:space="preserve">   GRADO:</t>
  </si>
  <si>
    <t>SERVIDOR PÚBLICO</t>
  </si>
  <si>
    <t>COMUNICACIÓN ELECTRÓNICA:</t>
  </si>
  <si>
    <r>
      <rPr>
        <b/>
        <sz val="12"/>
        <color theme="1"/>
        <rFont val="Calibri"/>
        <family val="2"/>
        <scheme val="minor"/>
      </rPr>
      <t>**</t>
    </r>
    <r>
      <rPr>
        <sz val="10"/>
        <color theme="1"/>
        <rFont val="Calibri"/>
        <family val="2"/>
        <scheme val="minor"/>
      </rPr>
      <t xml:space="preserve"> Si la comunicación fue electrónica se deberá colocar el medio por el cual se notificó al servidor; así como, el número del documento.</t>
    </r>
  </si>
  <si>
    <t>FIRMA:</t>
  </si>
  <si>
    <t>FIRMA</t>
  </si>
  <si>
    <t>NOMBRE:</t>
  </si>
  <si>
    <t>PUESTO:</t>
  </si>
  <si>
    <t>DESDE (dd-mm-aaaa)</t>
  </si>
  <si>
    <t>CON NRO. DE DOCUMENTO DE IDENTIFICACIÓN:</t>
  </si>
  <si>
    <t>HORA:</t>
  </si>
  <si>
    <t>RAZÓN:</t>
  </si>
  <si>
    <t>** MEDIO:</t>
  </si>
  <si>
    <t>DOCUMENTO DE IDENTIFICACIÓN</t>
  </si>
  <si>
    <t>NRO. DE IDENTIFICACIÓN</t>
  </si>
  <si>
    <r>
      <rPr>
        <b/>
        <sz val="12"/>
        <color theme="1"/>
        <rFont val="Calibri"/>
        <family val="2"/>
        <scheme val="minor"/>
      </rPr>
      <t xml:space="preserve"> * PRESENTÓ LA DECLARACIÓN JURADA </t>
    </r>
    <r>
      <rPr>
        <sz val="12"/>
        <color theme="1"/>
        <rFont val="Calibri"/>
        <family val="2"/>
        <scheme val="minor"/>
      </rPr>
      <t xml:space="preserve">(número 2 del art. 3 RLOSEP)             SI                         NO APLICA              </t>
    </r>
  </si>
  <si>
    <t>RESPONSABLE DE ELABORACIÓN</t>
  </si>
  <si>
    <t>RESPONSABLE DE REVISIÓN</t>
  </si>
  <si>
    <t>RESPONSABLE DE REGISTRO Y CONTROL</t>
  </si>
  <si>
    <t>ACEPTACIÓN Y/O RECEPCIÓN DEL SERVIDOR PÚBLICO</t>
  </si>
  <si>
    <t>** USO EXCLUSIVO PARA TALENTO HUMANO</t>
  </si>
  <si>
    <r>
      <t xml:space="preserve">REGISTRO DE NOTIFICACIÓN AL SERVIDOR PÚBLICO DE LA ACCIÓN DE PERSONAL </t>
    </r>
    <r>
      <rPr>
        <sz val="10"/>
        <color theme="1"/>
        <rFont val="Calibri"/>
        <family val="2"/>
        <scheme val="minor"/>
      </rPr>
      <t xml:space="preserve">(primer inciso del art. 22 RGLOSEP, art. 101 COA , art. 66 y 126 ERJAFE) </t>
    </r>
  </si>
  <si>
    <t>OTRO (DETALLAR)</t>
  </si>
  <si>
    <t>EN CASO DE REQUERIR ESPECIFICACIÓN DE LO SELECCIONADO:</t>
  </si>
  <si>
    <t xml:space="preserve">   PARTIDA INDIVIDUAL:</t>
  </si>
  <si>
    <t>DIRECTOR (A) O RESPONSABLE DE TALENTO HUMANO</t>
  </si>
  <si>
    <t>RESPONSABLES DE APROBACIÓN</t>
  </si>
  <si>
    <t xml:space="preserve">        JURO LEALTAD AL ESTADO ECUATORIANO.</t>
  </si>
  <si>
    <t>NRO. ACTA FINAL</t>
  </si>
  <si>
    <t>FECHA</t>
  </si>
  <si>
    <t>** (EN CASO DE GANADOR DE CONCURSO DE MÉRITOS Y OPOSICIÓN)</t>
  </si>
  <si>
    <t xml:space="preserve">   POSESIÓN DEL PUESTO</t>
  </si>
  <si>
    <t>RESPONSABLES DE FIRMAS</t>
  </si>
  <si>
    <t>FIRMA DEL RESPONSABLE QUE NOTIFICÓ</t>
  </si>
  <si>
    <t xml:space="preserve"> </t>
  </si>
  <si>
    <t>En presencia del testigo se deja constancia de que la o el servidor público tiene la negativa de recibir la comunicación de registro de esta acción de personal.</t>
  </si>
  <si>
    <r>
      <rPr>
        <b/>
        <sz val="8"/>
        <color theme="1"/>
        <rFont val="Calibri"/>
        <family val="2"/>
        <scheme val="minor"/>
      </rPr>
      <t>Elaborado por el Ministerio del Trabajo                                                                                Fecha de actualización de formato:</t>
    </r>
    <r>
      <rPr>
        <sz val="8"/>
        <color theme="1"/>
        <rFont val="Calibri"/>
        <family val="2"/>
        <scheme val="minor"/>
      </rPr>
      <t xml:space="preserve"> 2024-08-23    /    Versión: 01.1    /    Página 1 de 2          </t>
    </r>
  </si>
  <si>
    <t>CÉDULA</t>
  </si>
  <si>
    <t xml:space="preserve">   PROCESO INSTITUCIONAL: </t>
  </si>
  <si>
    <t xml:space="preserve">   NIVEL DE GESTIÓN: </t>
  </si>
  <si>
    <t xml:space="preserve">   UNIDAD ADMINISTRATIVA: </t>
  </si>
  <si>
    <t xml:space="preserve">   LUGAR DE TRABAJO: </t>
  </si>
  <si>
    <t>SUSTANTIVO</t>
  </si>
  <si>
    <t xml:space="preserve">   NIVEL DE GESTIÓN:</t>
  </si>
  <si>
    <t>DIRECCION EJECUTIVA</t>
  </si>
  <si>
    <r>
      <t xml:space="preserve">   UNIDAD ADMINISTRATIVA:</t>
    </r>
    <r>
      <rPr>
        <sz val="12"/>
        <color theme="1"/>
        <rFont val="Calibri"/>
        <family val="2"/>
        <scheme val="minor"/>
      </rPr>
      <t xml:space="preserve"> </t>
    </r>
  </si>
  <si>
    <t>QUITO</t>
  </si>
  <si>
    <t xml:space="preserve">   GRUPO OCUPACIONAL: </t>
  </si>
  <si>
    <t>SERVIDOR PUBLICO 5</t>
  </si>
  <si>
    <t xml:space="preserve">   REMUNERACIÓN MENSUAL: </t>
  </si>
  <si>
    <t xml:space="preserve">   MOTIVACIÓN: </t>
  </si>
  <si>
    <t>GOBERNANTE</t>
  </si>
  <si>
    <t>ADJETIVO</t>
  </si>
  <si>
    <t>DIRECCION DE ASESORIA JURIDICA</t>
  </si>
  <si>
    <t>DIRECCION DE PLANIFICACION</t>
  </si>
  <si>
    <t>DIRECCION DE COMUNICACION SOCIAL</t>
  </si>
  <si>
    <t>DIRECCION DE ADMINISTRACION DE RECURSOS HUMANOS</t>
  </si>
  <si>
    <t>DIRECCION ADMINISTRATIVA FINANCIERA</t>
  </si>
  <si>
    <t xml:space="preserve">DIRECCION DE LA RED DE NACIONAL DE OBSERVACION HIDROMETEOROLOGICA </t>
  </si>
  <si>
    <t>DIRECCION DE INFORMACION HIDROMETEOROLOGICA</t>
  </si>
  <si>
    <t>DIRECCION DE PRONOSTICOS Y ALERTAS HIDROMETEOROLOGICAS</t>
  </si>
  <si>
    <t>DIRECCION DE ESTUDIOS, INVESTIGACION Y DESARROLLO HIDROMETEOROLOGICO</t>
  </si>
  <si>
    <t>DIRECCION DE LABORATORIOS DE CALIDAD DE AGUAS Y SEDIMENTOS</t>
  </si>
  <si>
    <t>DIRECCION REGIONAL TECNICA HIDROMETEOROLOGICA ESMERALDAS - MIRA</t>
  </si>
  <si>
    <t>DIRECCION REGIONAL TECNICA HIDROMETEOROLOGICA NAPO</t>
  </si>
  <si>
    <t>DIRECCION REGIONAL TECNICA HIDROMETEOROLOGICA PASTAZA</t>
  </si>
  <si>
    <t>DIRECCION REGIONAL TECNICA HIDROMETEOROLOGICA MANABI</t>
  </si>
  <si>
    <t>DIRECCION REGIONAL TECNICA HIDROMETEOROLOGICA GUAYAS - GALAPAGOS</t>
  </si>
  <si>
    <t>DIRECCION REGIONAL TECNICA HIDROMETEOROLÓGICA MORONA SANTIAGO</t>
  </si>
  <si>
    <t>DIRECCION REGIONAL TECNICA HIDROMETEOROLOGICA JUBONES - PUYANGO</t>
  </si>
  <si>
    <t>GESTION PRIMARIA DE LA INFORMACION HIDROMETEOROLOGICA</t>
  </si>
  <si>
    <t xml:space="preserve">QUITO </t>
  </si>
  <si>
    <t xml:space="preserve"> GUAYAQUIL </t>
  </si>
  <si>
    <t xml:space="preserve"> OTAVALO- INGUINCHO </t>
  </si>
  <si>
    <t xml:space="preserve"> MONTÚFAR-SAN GABRIEL </t>
  </si>
  <si>
    <t xml:space="preserve"> CONCORDIA </t>
  </si>
  <si>
    <t xml:space="preserve"> CAYAMBE-TOMALÓN </t>
  </si>
  <si>
    <t xml:space="preserve"> FRANCISCO DE ORELLANA-NUEVO ROCAFUERTE </t>
  </si>
  <si>
    <t xml:space="preserve"> SALCEDO- RUMIPAMBA </t>
  </si>
  <si>
    <t xml:space="preserve"> PUYO </t>
  </si>
  <si>
    <t xml:space="preserve"> CEVALLOS-QUEROCHACA </t>
  </si>
  <si>
    <t xml:space="preserve"> RIOBAMBA </t>
  </si>
  <si>
    <t xml:space="preserve"> PORTOVIEJO </t>
  </si>
  <si>
    <t xml:space="preserve"> QUEVEDO-PUERTO ILA </t>
  </si>
  <si>
    <t xml:space="preserve"> SAN CRISTOBAL </t>
  </si>
  <si>
    <t xml:space="preserve"> CAÑAR </t>
  </si>
  <si>
    <t xml:space="preserve"> LOJA </t>
  </si>
  <si>
    <t>SERVIDOR PUBLICO DE APOYO 1</t>
  </si>
  <si>
    <t>SERVIDOR PUBLICO DE APOYO 2</t>
  </si>
  <si>
    <t>SERVIDOR PUBLICO DE APOYO 3</t>
  </si>
  <si>
    <t>SERVIDOR PUBLICO DE APOYO 4</t>
  </si>
  <si>
    <t>SERVIDOR PUBLICO 1</t>
  </si>
  <si>
    <t>SERVIDOR PUBLICO 2</t>
  </si>
  <si>
    <t>SERVIDOR PUBLICO 3</t>
  </si>
  <si>
    <t>SERVIDOR PUBLICO 4</t>
  </si>
  <si>
    <t>SERVIDOR PUBLICO 6</t>
  </si>
  <si>
    <t>SERVIDOR PUBLICO 7</t>
  </si>
  <si>
    <t>HASTA (dd-mm-aaaa)</t>
  </si>
  <si>
    <r>
      <t xml:space="preserve">    Escoja una opción</t>
    </r>
    <r>
      <rPr>
        <sz val="12"/>
        <color theme="1"/>
        <rFont val="Calibri"/>
        <family val="2"/>
        <scheme val="minor"/>
      </rPr>
      <t>:</t>
    </r>
  </si>
  <si>
    <r>
      <t xml:space="preserve">   UNIDAD ADMINISTRATIVA:</t>
    </r>
    <r>
      <rPr>
        <sz val="10"/>
        <color theme="1"/>
        <rFont val="Calibri"/>
        <family val="2"/>
        <scheme val="minor"/>
      </rPr>
      <t xml:space="preserve"> </t>
    </r>
  </si>
  <si>
    <t>NIVEL JERARQUICO SUPERIOR 2</t>
  </si>
  <si>
    <t>NIVEL JERARQUICO SUPERIOR 3</t>
  </si>
  <si>
    <t>NJS2</t>
  </si>
  <si>
    <t>NJS3</t>
  </si>
  <si>
    <t>DIRECTOR DE PRONOSTICO Y ALERTAS HIDROMETEREOLOGICOS</t>
  </si>
  <si>
    <t>202642200000000010000000100051170000100000000 - 165</t>
  </si>
  <si>
    <t>DIRECTOR DE ESTUDIOS INVESTIGACION Y DESARROLLO HIDROMETEOROLOGICO SUBROGANTE</t>
  </si>
  <si>
    <t>202642200000000010000000100051170000100000000 - 260</t>
  </si>
  <si>
    <t>AUTORIDAD NOMINADORA O SU DELEGADO
DEJ-2023-010</t>
  </si>
  <si>
    <t>AP-RH-2026-0093</t>
  </si>
  <si>
    <r>
      <t xml:space="preserve">El Ing. Pablo Andrés Cornejo Hidalgo, Director Ejecutivo Encargado del INAMHI, de conformidad con lo dispuesto en el artículo 126 de la Ley Orgánica del Servicio Público (LOSEP) y en concordancia con el artículo 270 de su Reglamento, </t>
    </r>
    <r>
      <rPr>
        <b/>
        <u/>
        <sz val="13"/>
        <color theme="1"/>
        <rFont val="Calibri"/>
        <family val="2"/>
        <scheme val="minor"/>
      </rPr>
      <t>RESUELVE:</t>
    </r>
    <r>
      <rPr>
        <sz val="13"/>
        <color theme="1"/>
        <rFont val="Calibri"/>
        <family val="2"/>
        <scheme val="minor"/>
      </rPr>
      <t xml:space="preserve"> Suscribir la subrogación del Ing. CARLOS VLADIMIR ARREAGA DIAZ como DIRECTOR DE ESTUDIOS INVESTIGACION Y DESARROLLO HIDROMETEOROLOGICO, desde el 09 de abril de 2026, hasta nueva disposición.
REFERENCIA: 1) Disposición de la Máxima Autoridad mediante memorando Nro. INAMHI-INAMHI-2026-0029-M de 09 de abril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</si>
</sst>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;[Red]&quot;$&quot;\-#,##0.00"/>
    <numFmt numFmtId="44" formatCode="_ &quot;$&quot;* #,##0.00_ ;_ &quot;$&quot;* \-#,##0.00_ ;_ &quot;$&quot;* &quot;-&quot;??_ ;_ @_ "/>
    <numFmt numFmtId="164" formatCode="[$-300A]d&quot; de &quot;mmmm&quot; de &quot;yyyy;@"/>
    <numFmt numFmtId="165" formatCode="dd\-mmm\-yyyy"/>
    <numFmt numFmtId="166" formatCode="&quot;$&quot;\ 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2" fillId="0" borderId="4" xfId="0" applyFont="1" applyBorder="1"/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7" xfId="0" applyFont="1" applyBorder="1"/>
    <xf numFmtId="0" fontId="7" fillId="0" borderId="0" xfId="0" applyFont="1"/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8" xfId="0" applyFont="1" applyBorder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12" xfId="0" applyBorder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3" fillId="0" borderId="4" xfId="0" applyFont="1" applyBorder="1" applyAlignment="1">
      <alignment horizontal="center"/>
    </xf>
    <xf numFmtId="0" fontId="2" fillId="0" borderId="6" xfId="0" applyFont="1" applyBorder="1"/>
    <xf numFmtId="0" fontId="13" fillId="0" borderId="0" xfId="0" applyFont="1" applyAlignment="1">
      <alignment horizontal="left" vertic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66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37" fontId="16" fillId="4" borderId="9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8" xfId="0" applyFont="1" applyFill="1" applyBorder="1"/>
    <xf numFmtId="0" fontId="1" fillId="3" borderId="6" xfId="0" applyFont="1" applyFill="1" applyBorder="1" applyAlignment="1">
      <alignment horizontal="right"/>
    </xf>
    <xf numFmtId="0" fontId="0" fillId="3" borderId="5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11" fillId="3" borderId="10" xfId="1" applyNumberFormat="1" applyFont="1" applyFill="1" applyBorder="1" applyAlignment="1" applyProtection="1">
      <alignment horizontal="center" vertical="center" wrapText="1"/>
      <protection locked="0"/>
    </xf>
    <xf numFmtId="0" fontId="11" fillId="3" borderId="11" xfId="1" applyNumberFormat="1" applyFont="1" applyFill="1" applyBorder="1" applyAlignment="1" applyProtection="1">
      <alignment horizontal="center" vertical="center" wrapText="1"/>
      <protection locked="0"/>
    </xf>
    <xf numFmtId="0" fontId="11" fillId="3" borderId="12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/>
    <xf numFmtId="0" fontId="0" fillId="0" borderId="8" xfId="0" applyBorder="1"/>
    <xf numFmtId="0" fontId="0" fillId="0" borderId="11" xfId="0" applyBorder="1"/>
    <xf numFmtId="0" fontId="7" fillId="0" borderId="0" xfId="0" applyFont="1" applyAlignment="1">
      <alignment horizontal="left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11" xfId="0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8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11" xfId="0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7" fillId="0" borderId="10" xfId="0" applyFont="1" applyBorder="1" applyAlignment="1">
      <alignment horizontal="justify" vertical="center" wrapText="1"/>
    </xf>
    <xf numFmtId="0" fontId="17" fillId="0" borderId="11" xfId="0" applyFont="1" applyBorder="1" applyAlignment="1">
      <alignment horizontal="justify" vertical="center" wrapText="1"/>
    </xf>
    <xf numFmtId="165" fontId="0" fillId="0" borderId="8" xfId="0" applyNumberFormat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193C46B9-30F6-4DDD-82FD-51A793AD00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</xdr:row>
          <xdr:rowOff>9525</xdr:rowOff>
        </xdr:from>
        <xdr:to>
          <xdr:col>5</xdr:col>
          <xdr:colOff>0</xdr:colOff>
          <xdr:row>16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17</xdr:row>
          <xdr:rowOff>9525</xdr:rowOff>
        </xdr:from>
        <xdr:to>
          <xdr:col>5</xdr:col>
          <xdr:colOff>19050</xdr:colOff>
          <xdr:row>18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18</xdr:row>
          <xdr:rowOff>9525</xdr:rowOff>
        </xdr:from>
        <xdr:to>
          <xdr:col>5</xdr:col>
          <xdr:colOff>19050</xdr:colOff>
          <xdr:row>19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13</xdr:row>
          <xdr:rowOff>9525</xdr:rowOff>
        </xdr:from>
        <xdr:to>
          <xdr:col>9</xdr:col>
          <xdr:colOff>781050</xdr:colOff>
          <xdr:row>14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14</xdr:row>
          <xdr:rowOff>9525</xdr:rowOff>
        </xdr:from>
        <xdr:to>
          <xdr:col>9</xdr:col>
          <xdr:colOff>781050</xdr:colOff>
          <xdr:row>15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15</xdr:row>
          <xdr:rowOff>9525</xdr:rowOff>
        </xdr:from>
        <xdr:to>
          <xdr:col>9</xdr:col>
          <xdr:colOff>781050</xdr:colOff>
          <xdr:row>16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16</xdr:row>
          <xdr:rowOff>9525</xdr:rowOff>
        </xdr:from>
        <xdr:to>
          <xdr:col>9</xdr:col>
          <xdr:colOff>781050</xdr:colOff>
          <xdr:row>17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17</xdr:row>
          <xdr:rowOff>9525</xdr:rowOff>
        </xdr:from>
        <xdr:to>
          <xdr:col>9</xdr:col>
          <xdr:colOff>781050</xdr:colOff>
          <xdr:row>18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18</xdr:row>
          <xdr:rowOff>9525</xdr:rowOff>
        </xdr:from>
        <xdr:to>
          <xdr:col>9</xdr:col>
          <xdr:colOff>781050</xdr:colOff>
          <xdr:row>19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13</xdr:row>
          <xdr:rowOff>9525</xdr:rowOff>
        </xdr:from>
        <xdr:to>
          <xdr:col>13</xdr:col>
          <xdr:colOff>104775</xdr:colOff>
          <xdr:row>14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14</xdr:row>
          <xdr:rowOff>9525</xdr:rowOff>
        </xdr:from>
        <xdr:to>
          <xdr:col>13</xdr:col>
          <xdr:colOff>104775</xdr:colOff>
          <xdr:row>15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15</xdr:row>
          <xdr:rowOff>9525</xdr:rowOff>
        </xdr:from>
        <xdr:to>
          <xdr:col>13</xdr:col>
          <xdr:colOff>104775</xdr:colOff>
          <xdr:row>16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16</xdr:row>
          <xdr:rowOff>9525</xdr:rowOff>
        </xdr:from>
        <xdr:to>
          <xdr:col>13</xdr:col>
          <xdr:colOff>104775</xdr:colOff>
          <xdr:row>17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352425</xdr:colOff>
          <xdr:row>13</xdr:row>
          <xdr:rowOff>9525</xdr:rowOff>
        </xdr:from>
        <xdr:to>
          <xdr:col>17</xdr:col>
          <xdr:colOff>76200</xdr:colOff>
          <xdr:row>14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17</xdr:row>
          <xdr:rowOff>9525</xdr:rowOff>
        </xdr:from>
        <xdr:to>
          <xdr:col>13</xdr:col>
          <xdr:colOff>104775</xdr:colOff>
          <xdr:row>18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18</xdr:row>
          <xdr:rowOff>9525</xdr:rowOff>
        </xdr:from>
        <xdr:to>
          <xdr:col>13</xdr:col>
          <xdr:colOff>104775</xdr:colOff>
          <xdr:row>19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16</xdr:row>
          <xdr:rowOff>9525</xdr:rowOff>
        </xdr:from>
        <xdr:to>
          <xdr:col>5</xdr:col>
          <xdr:colOff>38100</xdr:colOff>
          <xdr:row>17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142875</xdr:colOff>
          <xdr:row>20</xdr:row>
          <xdr:rowOff>38100</xdr:rowOff>
        </xdr:from>
        <xdr:to>
          <xdr:col>10</xdr:col>
          <xdr:colOff>742950</xdr:colOff>
          <xdr:row>21</xdr:row>
          <xdr:rowOff>66675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171450</xdr:colOff>
          <xdr:row>20</xdr:row>
          <xdr:rowOff>47625</xdr:rowOff>
        </xdr:from>
        <xdr:to>
          <xdr:col>12</xdr:col>
          <xdr:colOff>714375</xdr:colOff>
          <xdr:row>21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</xdr:row>
          <xdr:rowOff>9525</xdr:rowOff>
        </xdr:from>
        <xdr:to>
          <xdr:col>5</xdr:col>
          <xdr:colOff>0</xdr:colOff>
          <xdr:row>14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</xdr:row>
          <xdr:rowOff>9525</xdr:rowOff>
        </xdr:from>
        <xdr:to>
          <xdr:col>5</xdr:col>
          <xdr:colOff>0</xdr:colOff>
          <xdr:row>15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97</xdr:row>
          <xdr:rowOff>0</xdr:rowOff>
        </xdr:from>
        <xdr:to>
          <xdr:col>8</xdr:col>
          <xdr:colOff>0</xdr:colOff>
          <xdr:row>97</xdr:row>
          <xdr:rowOff>228600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352425</xdr:colOff>
          <xdr:row>14</xdr:row>
          <xdr:rowOff>19050</xdr:rowOff>
        </xdr:from>
        <xdr:to>
          <xdr:col>17</xdr:col>
          <xdr:colOff>76200</xdr:colOff>
          <xdr:row>15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16</xdr:row>
          <xdr:rowOff>9525</xdr:rowOff>
        </xdr:from>
        <xdr:to>
          <xdr:col>13</xdr:col>
          <xdr:colOff>104775</xdr:colOff>
          <xdr:row>17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17</xdr:row>
          <xdr:rowOff>9525</xdr:rowOff>
        </xdr:from>
        <xdr:to>
          <xdr:col>13</xdr:col>
          <xdr:colOff>104775</xdr:colOff>
          <xdr:row>18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302559</xdr:colOff>
      <xdr:row>0</xdr:row>
      <xdr:rowOff>78441</xdr:rowOff>
    </xdr:from>
    <xdr:to>
      <xdr:col>6</xdr:col>
      <xdr:colOff>191061</xdr:colOff>
      <xdr:row>4</xdr:row>
      <xdr:rowOff>123264</xdr:rowOff>
    </xdr:to>
    <xdr:pic>
      <xdr:nvPicPr>
        <xdr:cNvPr id="27" name="Imagen 26" descr="Pronostico – INAMHI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30" y="78441"/>
          <a:ext cx="3070972" cy="1210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 x14ac:dyDescent="0.25"/>
  <cols>
    <col min="1" max="1" width="1.42578125" customWidth="1"/>
    <col min="2" max="7" width="11.85546875" customWidth="1"/>
    <col min="8" max="9" width="1.42578125" customWidth="1"/>
    <col min="10" max="15" width="11.85546875" customWidth="1"/>
    <col min="16" max="16" width="1.42578125" customWidth="1"/>
    <col min="18" max="18" width="12.7109375" customWidth="1"/>
  </cols>
  <sheetData>
    <row r="1" spans="1:16" ht="45" customHeight="1" x14ac:dyDescent="0.25">
      <c r="A1" s="106"/>
      <c r="B1" s="107"/>
      <c r="C1" s="107"/>
      <c r="D1" s="107"/>
      <c r="E1" s="107"/>
      <c r="F1" s="107"/>
      <c r="G1" s="107"/>
      <c r="H1" s="107"/>
      <c r="I1" s="107"/>
      <c r="J1" s="108"/>
      <c r="K1" s="99" t="s">
        <v>28</v>
      </c>
      <c r="L1" s="100"/>
      <c r="M1" s="100"/>
      <c r="N1" s="100"/>
      <c r="O1" s="100"/>
      <c r="P1" s="100"/>
    </row>
    <row r="2" spans="1:16" ht="6" customHeight="1" x14ac:dyDescent="0.25">
      <c r="A2" s="109"/>
      <c r="B2" s="101"/>
      <c r="C2" s="101"/>
      <c r="D2" s="101"/>
      <c r="E2" s="101"/>
      <c r="F2" s="101"/>
      <c r="G2" s="101"/>
      <c r="H2" s="101"/>
      <c r="I2" s="101"/>
      <c r="J2" s="110"/>
      <c r="K2" s="101"/>
      <c r="L2" s="101"/>
      <c r="M2" s="101"/>
      <c r="N2" s="101"/>
      <c r="O2" s="101"/>
      <c r="P2" s="101"/>
    </row>
    <row r="3" spans="1:16" ht="24.75" customHeight="1" x14ac:dyDescent="0.25">
      <c r="A3" s="109"/>
      <c r="B3" s="101"/>
      <c r="C3" s="101"/>
      <c r="D3" s="101"/>
      <c r="E3" s="101"/>
      <c r="F3" s="101"/>
      <c r="G3" s="101"/>
      <c r="H3" s="101"/>
      <c r="I3" s="101"/>
      <c r="J3" s="110"/>
      <c r="K3" s="102" t="s">
        <v>17</v>
      </c>
      <c r="L3" s="103"/>
      <c r="M3" s="130" t="s">
        <v>143</v>
      </c>
      <c r="N3" s="130"/>
      <c r="O3" s="130"/>
      <c r="P3" s="130"/>
    </row>
    <row r="4" spans="1:16" ht="15.75" x14ac:dyDescent="0.25">
      <c r="A4" s="109"/>
      <c r="B4" s="101"/>
      <c r="C4" s="101"/>
      <c r="D4" s="101"/>
      <c r="E4" s="101"/>
      <c r="F4" s="101"/>
      <c r="G4" s="101"/>
      <c r="H4" s="101"/>
      <c r="I4" s="101"/>
      <c r="J4" s="110"/>
      <c r="K4" s="102" t="s">
        <v>30</v>
      </c>
      <c r="L4" s="103"/>
      <c r="M4" s="103"/>
      <c r="N4" s="103"/>
      <c r="O4" s="103"/>
      <c r="P4" s="103"/>
    </row>
    <row r="5" spans="1:16" ht="21.75" customHeight="1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3"/>
      <c r="K5" s="104">
        <v>46121</v>
      </c>
      <c r="L5" s="105"/>
      <c r="M5" s="105"/>
      <c r="N5" s="105"/>
      <c r="O5" s="105"/>
      <c r="P5" s="105"/>
    </row>
    <row r="6" spans="1:16" x14ac:dyDescent="0.25">
      <c r="A6" s="131"/>
      <c r="B6" s="120"/>
      <c r="C6" s="120"/>
      <c r="D6" s="120"/>
      <c r="E6" s="120"/>
      <c r="F6" s="120"/>
      <c r="G6" s="120"/>
      <c r="H6" s="121"/>
      <c r="I6" s="120"/>
      <c r="J6" s="120"/>
      <c r="K6" s="120"/>
      <c r="L6" s="120"/>
      <c r="M6" s="120"/>
      <c r="N6" s="120"/>
      <c r="O6" s="120"/>
      <c r="P6" s="121"/>
    </row>
    <row r="7" spans="1:16" x14ac:dyDescent="0.25">
      <c r="A7" s="132"/>
      <c r="B7" s="122"/>
      <c r="C7" s="122"/>
      <c r="D7" s="122"/>
      <c r="E7" s="122"/>
      <c r="F7" s="122"/>
      <c r="G7" s="122"/>
      <c r="H7" s="123"/>
      <c r="I7" s="122"/>
      <c r="J7" s="122"/>
      <c r="K7" s="122"/>
      <c r="L7" s="122"/>
      <c r="M7" s="122"/>
      <c r="N7" s="122"/>
      <c r="O7" s="122"/>
      <c r="P7" s="123"/>
    </row>
    <row r="8" spans="1:16" ht="15.75" x14ac:dyDescent="0.25">
      <c r="A8" s="133" t="s">
        <v>1</v>
      </c>
      <c r="B8" s="124"/>
      <c r="C8" s="124"/>
      <c r="D8" s="124"/>
      <c r="E8" s="124"/>
      <c r="F8" s="124"/>
      <c r="G8" s="124"/>
      <c r="H8" s="125"/>
      <c r="I8" s="124" t="s">
        <v>2</v>
      </c>
      <c r="J8" s="124"/>
      <c r="K8" s="124"/>
      <c r="L8" s="124"/>
      <c r="M8" s="124"/>
      <c r="N8" s="124"/>
      <c r="O8" s="124"/>
      <c r="P8" s="125"/>
    </row>
    <row r="9" spans="1:16" ht="15" customHeight="1" x14ac:dyDescent="0.25">
      <c r="A9" s="114" t="s">
        <v>47</v>
      </c>
      <c r="B9" s="115"/>
      <c r="C9" s="115"/>
      <c r="D9" s="116"/>
      <c r="E9" s="114" t="s">
        <v>48</v>
      </c>
      <c r="F9" s="115"/>
      <c r="G9" s="115"/>
      <c r="H9" s="116"/>
      <c r="I9" s="102" t="s">
        <v>29</v>
      </c>
      <c r="J9" s="103"/>
      <c r="K9" s="103"/>
      <c r="L9" s="103"/>
      <c r="M9" s="103"/>
      <c r="N9" s="103"/>
      <c r="O9" s="103"/>
      <c r="P9" s="103"/>
    </row>
    <row r="10" spans="1:16" ht="15" customHeight="1" x14ac:dyDescent="0.25">
      <c r="A10" s="117"/>
      <c r="B10" s="118"/>
      <c r="C10" s="118"/>
      <c r="D10" s="119"/>
      <c r="E10" s="117"/>
      <c r="F10" s="118"/>
      <c r="G10" s="118"/>
      <c r="H10" s="119"/>
      <c r="I10" s="126" t="s">
        <v>42</v>
      </c>
      <c r="J10" s="127"/>
      <c r="K10" s="127"/>
      <c r="L10" s="102"/>
      <c r="M10" s="126" t="s">
        <v>131</v>
      </c>
      <c r="N10" s="127"/>
      <c r="O10" s="127"/>
      <c r="P10" s="102"/>
    </row>
    <row r="11" spans="1:16" ht="30" customHeight="1" x14ac:dyDescent="0.25">
      <c r="A11" s="79" t="s">
        <v>71</v>
      </c>
      <c r="B11" s="80"/>
      <c r="C11" s="80"/>
      <c r="D11" s="80"/>
      <c r="E11" s="79"/>
      <c r="F11" s="80"/>
      <c r="G11" s="80"/>
      <c r="H11" s="81"/>
      <c r="I11" s="87"/>
      <c r="J11" s="88"/>
      <c r="K11" s="88"/>
      <c r="L11" s="89"/>
      <c r="M11" s="87"/>
      <c r="N11" s="88"/>
      <c r="O11" s="88"/>
      <c r="P11" s="89"/>
    </row>
    <row r="12" spans="1:16" ht="24" customHeight="1" x14ac:dyDescent="0.25">
      <c r="A12" s="90" t="s">
        <v>132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2"/>
    </row>
    <row r="13" spans="1:16" ht="6.95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1:16" ht="15.75" x14ac:dyDescent="0.25">
      <c r="A14" s="6"/>
      <c r="B14" s="23" t="s">
        <v>3</v>
      </c>
      <c r="C14" s="23"/>
      <c r="D14" s="38"/>
      <c r="E14" s="23" t="s">
        <v>8</v>
      </c>
      <c r="F14" s="23"/>
      <c r="G14" s="23"/>
      <c r="H14" s="23"/>
      <c r="I14" s="23"/>
      <c r="J14" s="23" t="s">
        <v>24</v>
      </c>
      <c r="K14" s="23"/>
      <c r="L14" s="23"/>
      <c r="M14" s="93" t="s">
        <v>15</v>
      </c>
      <c r="N14" s="93"/>
      <c r="O14" s="93"/>
      <c r="P14" s="2"/>
    </row>
    <row r="15" spans="1:16" ht="15.75" x14ac:dyDescent="0.25">
      <c r="A15" s="6"/>
      <c r="B15" s="96" t="s">
        <v>19</v>
      </c>
      <c r="C15" s="96"/>
      <c r="D15" s="38"/>
      <c r="E15" s="23" t="s">
        <v>9</v>
      </c>
      <c r="F15" s="23"/>
      <c r="G15" s="23"/>
      <c r="H15" s="23"/>
      <c r="I15" s="23"/>
      <c r="J15" s="23" t="s">
        <v>25</v>
      </c>
      <c r="K15" s="23"/>
      <c r="L15" s="23"/>
      <c r="M15" s="93" t="s">
        <v>56</v>
      </c>
      <c r="N15" s="93"/>
      <c r="O15" s="93"/>
      <c r="P15" s="2"/>
    </row>
    <row r="16" spans="1:16" ht="15.75" x14ac:dyDescent="0.25">
      <c r="A16" s="6"/>
      <c r="B16" s="96" t="s">
        <v>20</v>
      </c>
      <c r="C16" s="96"/>
      <c r="D16" s="38"/>
      <c r="E16" s="23" t="s">
        <v>21</v>
      </c>
      <c r="F16" s="23"/>
      <c r="G16" s="23"/>
      <c r="H16" s="23"/>
      <c r="I16" s="23"/>
      <c r="J16" s="23" t="s">
        <v>5</v>
      </c>
      <c r="K16" s="23"/>
      <c r="L16" s="23"/>
      <c r="M16" s="94"/>
      <c r="N16" s="94"/>
      <c r="O16" s="94"/>
      <c r="P16" s="2"/>
    </row>
    <row r="17" spans="1:16" ht="15.75" x14ac:dyDescent="0.25">
      <c r="A17" s="6"/>
      <c r="B17" s="96" t="s">
        <v>11</v>
      </c>
      <c r="C17" s="96"/>
      <c r="D17" s="38"/>
      <c r="E17" s="23" t="s">
        <v>10</v>
      </c>
      <c r="F17" s="23"/>
      <c r="G17" s="23"/>
      <c r="H17" s="23"/>
      <c r="I17" s="23"/>
      <c r="J17" s="23" t="s">
        <v>26</v>
      </c>
      <c r="K17" s="23"/>
      <c r="L17" s="23"/>
      <c r="M17" s="95"/>
      <c r="N17" s="95"/>
      <c r="O17" s="95"/>
      <c r="P17" s="2"/>
    </row>
    <row r="18" spans="1:16" ht="15.75" x14ac:dyDescent="0.25">
      <c r="A18" s="6"/>
      <c r="B18" s="96" t="s">
        <v>4</v>
      </c>
      <c r="C18" s="96"/>
      <c r="D18" s="38"/>
      <c r="E18" s="23" t="s">
        <v>22</v>
      </c>
      <c r="F18" s="23"/>
      <c r="G18" s="23"/>
      <c r="H18" s="23"/>
      <c r="I18" s="23"/>
      <c r="J18" s="23" t="s">
        <v>27</v>
      </c>
      <c r="K18" s="23"/>
      <c r="L18" s="23"/>
      <c r="M18" s="159"/>
      <c r="N18" s="159"/>
      <c r="O18" s="159"/>
      <c r="P18" s="2"/>
    </row>
    <row r="19" spans="1:16" ht="15.75" x14ac:dyDescent="0.25">
      <c r="A19" s="6"/>
      <c r="B19" s="96" t="s">
        <v>7</v>
      </c>
      <c r="C19" s="96"/>
      <c r="D19" s="38"/>
      <c r="E19" s="23" t="s">
        <v>23</v>
      </c>
      <c r="F19" s="23"/>
      <c r="G19" s="23"/>
      <c r="H19" s="23"/>
      <c r="I19" s="23"/>
      <c r="J19" s="23" t="s">
        <v>6</v>
      </c>
      <c r="K19" s="23"/>
      <c r="L19" s="23"/>
      <c r="M19" s="95"/>
      <c r="N19" s="95"/>
      <c r="O19" s="95"/>
      <c r="P19" s="2"/>
    </row>
    <row r="20" spans="1:16" ht="15.95" customHeight="1" x14ac:dyDescent="0.25">
      <c r="A20" s="6"/>
      <c r="B20" s="86" t="s">
        <v>57</v>
      </c>
      <c r="C20" s="86"/>
      <c r="D20" s="86"/>
      <c r="E20" s="86"/>
      <c r="F20" s="86"/>
      <c r="G20" s="158"/>
      <c r="H20" s="158"/>
      <c r="I20" s="158"/>
      <c r="J20" s="158"/>
      <c r="K20" s="158"/>
      <c r="L20" s="158"/>
      <c r="M20" s="158"/>
      <c r="N20" s="158"/>
      <c r="O20" s="158"/>
      <c r="P20" s="2"/>
    </row>
    <row r="21" spans="1:16" ht="17.45" customHeight="1" x14ac:dyDescent="0.25">
      <c r="A21" s="6"/>
      <c r="B21" s="166" t="s">
        <v>49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7"/>
      <c r="N21" s="167"/>
      <c r="O21" s="167"/>
      <c r="P21" s="2"/>
    </row>
    <row r="22" spans="1:16" ht="6.95" customHeigh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94"/>
      <c r="N22" s="94"/>
      <c r="O22" s="94"/>
      <c r="P22" s="3"/>
    </row>
    <row r="23" spans="1:16" ht="24" customHeight="1" x14ac:dyDescent="0.25">
      <c r="A23" s="152" t="s">
        <v>84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4"/>
    </row>
    <row r="24" spans="1:16" ht="69.95" customHeight="1" x14ac:dyDescent="0.25">
      <c r="A24" s="162" t="s">
        <v>144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39"/>
    </row>
    <row r="25" spans="1:16" ht="24" customHeight="1" x14ac:dyDescent="0.25">
      <c r="A25" s="126" t="s">
        <v>12</v>
      </c>
      <c r="B25" s="127"/>
      <c r="C25" s="127"/>
      <c r="D25" s="127"/>
      <c r="E25" s="127"/>
      <c r="F25" s="127"/>
      <c r="G25" s="127"/>
      <c r="H25" s="102"/>
      <c r="I25" s="126" t="s">
        <v>13</v>
      </c>
      <c r="J25" s="127"/>
      <c r="K25" s="127"/>
      <c r="L25" s="127"/>
      <c r="M25" s="127"/>
      <c r="N25" s="127"/>
      <c r="O25" s="127"/>
      <c r="P25" s="102"/>
    </row>
    <row r="26" spans="1:16" ht="6.9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s="28" customFormat="1" ht="12" customHeight="1" x14ac:dyDescent="0.2">
      <c r="A27" s="128" t="s">
        <v>72</v>
      </c>
      <c r="B27" s="129"/>
      <c r="C27" s="129"/>
      <c r="D27" s="129"/>
      <c r="E27" s="129"/>
      <c r="F27" s="129"/>
      <c r="G27" s="129"/>
      <c r="H27" s="65"/>
      <c r="I27" s="128" t="s">
        <v>72</v>
      </c>
      <c r="J27" s="129"/>
      <c r="K27" s="129"/>
      <c r="L27" s="129"/>
      <c r="M27" s="129"/>
      <c r="N27" s="129"/>
      <c r="O27" s="129"/>
      <c r="P27" s="165"/>
    </row>
    <row r="28" spans="1:16" s="28" customFormat="1" ht="11.1" customHeight="1" x14ac:dyDescent="0.2">
      <c r="A28" s="13"/>
      <c r="B28" s="84" t="s">
        <v>76</v>
      </c>
      <c r="C28" s="84"/>
      <c r="D28" s="84"/>
      <c r="E28" s="84"/>
      <c r="F28" s="84"/>
      <c r="G28" s="84"/>
      <c r="H28" s="43"/>
      <c r="I28" s="13"/>
      <c r="J28" s="84" t="s">
        <v>85</v>
      </c>
      <c r="K28" s="84"/>
      <c r="L28" s="84"/>
      <c r="M28" s="84"/>
      <c r="N28" s="84"/>
      <c r="O28" s="84"/>
      <c r="P28" s="12"/>
    </row>
    <row r="29" spans="1:16" s="28" customFormat="1" ht="12" customHeight="1" x14ac:dyDescent="0.2">
      <c r="A29" s="82" t="s">
        <v>77</v>
      </c>
      <c r="B29" s="83"/>
      <c r="C29" s="83"/>
      <c r="D29" s="83"/>
      <c r="E29" s="83"/>
      <c r="F29" s="83"/>
      <c r="G29" s="83"/>
      <c r="H29" s="66"/>
      <c r="I29" s="82" t="s">
        <v>73</v>
      </c>
      <c r="J29" s="83"/>
      <c r="K29" s="83"/>
      <c r="L29" s="83"/>
      <c r="M29" s="83"/>
      <c r="N29" s="83"/>
      <c r="O29" s="83"/>
      <c r="P29" s="85"/>
    </row>
    <row r="30" spans="1:16" s="28" customFormat="1" ht="11.1" customHeight="1" x14ac:dyDescent="0.2">
      <c r="A30" s="13"/>
      <c r="B30" s="84"/>
      <c r="C30" s="84"/>
      <c r="D30" s="84"/>
      <c r="E30" s="84"/>
      <c r="F30" s="84"/>
      <c r="G30" s="84"/>
      <c r="H30" s="43"/>
      <c r="I30" s="13"/>
      <c r="J30" s="84" t="s">
        <v>78</v>
      </c>
      <c r="K30" s="84"/>
      <c r="L30" s="84"/>
      <c r="M30" s="84"/>
      <c r="N30" s="84"/>
      <c r="O30" s="84"/>
      <c r="P30" s="12"/>
    </row>
    <row r="31" spans="1:16" s="28" customFormat="1" ht="12" customHeight="1" x14ac:dyDescent="0.2">
      <c r="A31" s="82" t="s">
        <v>133</v>
      </c>
      <c r="B31" s="83"/>
      <c r="C31" s="83"/>
      <c r="D31" s="83"/>
      <c r="E31" s="83"/>
      <c r="F31" s="83"/>
      <c r="G31" s="83"/>
      <c r="H31" s="66"/>
      <c r="I31" s="82" t="s">
        <v>74</v>
      </c>
      <c r="J31" s="83"/>
      <c r="K31" s="83"/>
      <c r="L31" s="83"/>
      <c r="M31" s="83"/>
      <c r="N31" s="83"/>
      <c r="O31" s="83"/>
      <c r="P31" s="85"/>
    </row>
    <row r="32" spans="1:16" s="28" customFormat="1" ht="11.1" customHeight="1" x14ac:dyDescent="0.2">
      <c r="A32" s="13"/>
      <c r="B32" s="84" t="s">
        <v>94</v>
      </c>
      <c r="C32" s="84"/>
      <c r="D32" s="84"/>
      <c r="E32" s="84"/>
      <c r="F32" s="84"/>
      <c r="G32" s="84"/>
      <c r="H32" s="67"/>
      <c r="I32" s="13"/>
      <c r="J32" s="84" t="s">
        <v>95</v>
      </c>
      <c r="K32" s="84"/>
      <c r="L32" s="84"/>
      <c r="M32" s="84"/>
      <c r="N32" s="84"/>
      <c r="O32" s="84"/>
      <c r="P32" s="12"/>
    </row>
    <row r="33" spans="1:22" s="28" customFormat="1" ht="12" customHeight="1" x14ac:dyDescent="0.2">
      <c r="A33" s="82" t="s">
        <v>75</v>
      </c>
      <c r="B33" s="83"/>
      <c r="C33" s="83"/>
      <c r="D33" s="83"/>
      <c r="E33" s="83"/>
      <c r="F33" s="83"/>
      <c r="G33" s="83"/>
      <c r="H33" s="66"/>
      <c r="I33" s="82" t="s">
        <v>75</v>
      </c>
      <c r="J33" s="83"/>
      <c r="K33" s="83"/>
      <c r="L33" s="83"/>
      <c r="M33" s="83"/>
      <c r="N33" s="83"/>
      <c r="O33" s="83"/>
      <c r="P33" s="85"/>
    </row>
    <row r="34" spans="1:22" s="28" customFormat="1" ht="11.1" customHeight="1" x14ac:dyDescent="0.2">
      <c r="A34" s="13"/>
      <c r="B34" s="84" t="s">
        <v>80</v>
      </c>
      <c r="C34" s="84"/>
      <c r="D34" s="84"/>
      <c r="E34" s="84"/>
      <c r="F34" s="84"/>
      <c r="G34" s="84"/>
      <c r="H34" s="67"/>
      <c r="I34" s="13"/>
      <c r="J34" s="84" t="s">
        <v>80</v>
      </c>
      <c r="K34" s="84"/>
      <c r="L34" s="84"/>
      <c r="M34" s="84"/>
      <c r="N34" s="84"/>
      <c r="O34" s="84"/>
      <c r="P34" s="12"/>
    </row>
    <row r="35" spans="1:22" s="28" customFormat="1" ht="12" customHeight="1" x14ac:dyDescent="0.2">
      <c r="A35" s="150" t="s">
        <v>31</v>
      </c>
      <c r="B35" s="151"/>
      <c r="C35" s="151"/>
      <c r="D35" s="151"/>
      <c r="E35" s="151"/>
      <c r="F35" s="151"/>
      <c r="G35" s="151"/>
      <c r="H35" s="66"/>
      <c r="I35" s="82" t="s">
        <v>31</v>
      </c>
      <c r="J35" s="83"/>
      <c r="K35" s="83"/>
      <c r="L35" s="83"/>
      <c r="M35" s="83"/>
      <c r="N35" s="83"/>
      <c r="O35" s="83"/>
      <c r="P35" s="85"/>
    </row>
    <row r="36" spans="1:22" s="28" customFormat="1" ht="11.1" customHeight="1" x14ac:dyDescent="0.2">
      <c r="A36" s="13"/>
      <c r="B36" s="84" t="s">
        <v>138</v>
      </c>
      <c r="C36" s="84"/>
      <c r="D36" s="84"/>
      <c r="E36" s="84"/>
      <c r="F36" s="84"/>
      <c r="G36" s="84"/>
      <c r="H36" s="67"/>
      <c r="I36" s="13"/>
      <c r="J36" s="84" t="s">
        <v>140</v>
      </c>
      <c r="K36" s="84"/>
      <c r="L36" s="84"/>
      <c r="M36" s="84"/>
      <c r="N36" s="84"/>
      <c r="O36" s="84"/>
      <c r="P36" s="12"/>
    </row>
    <row r="37" spans="1:22" s="28" customFormat="1" ht="12" customHeight="1" x14ac:dyDescent="0.2">
      <c r="A37" s="82" t="s">
        <v>81</v>
      </c>
      <c r="B37" s="83"/>
      <c r="C37" s="83"/>
      <c r="D37" s="83"/>
      <c r="E37" s="83"/>
      <c r="F37" s="83"/>
      <c r="G37" s="83"/>
      <c r="H37" s="66"/>
      <c r="I37" s="82" t="s">
        <v>33</v>
      </c>
      <c r="J37" s="83"/>
      <c r="K37" s="83"/>
      <c r="L37" s="83"/>
      <c r="M37" s="83"/>
      <c r="N37" s="83"/>
      <c r="O37" s="83"/>
      <c r="P37" s="85"/>
      <c r="S37" s="27"/>
      <c r="T37" s="156"/>
      <c r="U37" s="156"/>
      <c r="V37" s="156"/>
    </row>
    <row r="38" spans="1:22" s="28" customFormat="1" ht="11.1" customHeight="1" x14ac:dyDescent="0.2">
      <c r="A38" s="13"/>
      <c r="B38" s="84" t="s">
        <v>134</v>
      </c>
      <c r="C38" s="84"/>
      <c r="D38" s="84"/>
      <c r="E38" s="84"/>
      <c r="F38" s="84"/>
      <c r="G38" s="84"/>
      <c r="H38" s="67"/>
      <c r="I38" s="13"/>
      <c r="J38" s="84" t="s">
        <v>134</v>
      </c>
      <c r="K38" s="84"/>
      <c r="L38" s="84"/>
      <c r="M38" s="84"/>
      <c r="N38" s="84"/>
      <c r="O38" s="84"/>
      <c r="P38" s="12"/>
      <c r="S38" s="27"/>
      <c r="T38" s="27"/>
      <c r="U38" s="27"/>
      <c r="V38" s="27"/>
    </row>
    <row r="39" spans="1:22" s="28" customFormat="1" ht="12" customHeight="1" x14ac:dyDescent="0.2">
      <c r="A39" s="82" t="s">
        <v>34</v>
      </c>
      <c r="B39" s="83"/>
      <c r="C39" s="83"/>
      <c r="D39" s="83"/>
      <c r="E39" s="83"/>
      <c r="F39" s="83"/>
      <c r="G39" s="83"/>
      <c r="H39" s="66"/>
      <c r="I39" s="82" t="s">
        <v>34</v>
      </c>
      <c r="J39" s="83"/>
      <c r="K39" s="83"/>
      <c r="L39" s="83"/>
      <c r="M39" s="83"/>
      <c r="N39" s="83"/>
      <c r="O39" s="83"/>
      <c r="P39" s="85"/>
    </row>
    <row r="40" spans="1:22" s="28" customFormat="1" ht="11.1" customHeight="1" x14ac:dyDescent="0.2">
      <c r="A40" s="13"/>
      <c r="B40" s="84" t="str">
        <f>+VLOOKUP(B38,Hoja2!$E$2:$F$14,2,0)</f>
        <v>NJS2</v>
      </c>
      <c r="C40" s="84"/>
      <c r="D40" s="84"/>
      <c r="E40" s="84"/>
      <c r="F40" s="84"/>
      <c r="G40" s="84"/>
      <c r="H40" s="67"/>
      <c r="I40" s="13"/>
      <c r="J40" s="84" t="str">
        <f>+VLOOKUP(J38,Hoja2!$E$2:$F$14,2,0)</f>
        <v>NJS2</v>
      </c>
      <c r="K40" s="84"/>
      <c r="L40" s="84"/>
      <c r="M40" s="84"/>
      <c r="N40" s="84"/>
      <c r="O40" s="84"/>
      <c r="P40" s="12"/>
      <c r="T40" s="29"/>
    </row>
    <row r="41" spans="1:22" s="28" customFormat="1" ht="12" customHeight="1" x14ac:dyDescent="0.2">
      <c r="A41" s="82" t="s">
        <v>83</v>
      </c>
      <c r="B41" s="83"/>
      <c r="C41" s="83"/>
      <c r="D41" s="83"/>
      <c r="E41" s="83"/>
      <c r="F41" s="83"/>
      <c r="G41" s="83"/>
      <c r="H41" s="66"/>
      <c r="I41" s="82" t="s">
        <v>32</v>
      </c>
      <c r="J41" s="83"/>
      <c r="K41" s="83"/>
      <c r="L41" s="83"/>
      <c r="M41" s="83"/>
      <c r="N41" s="83"/>
      <c r="O41" s="83"/>
      <c r="P41" s="85"/>
      <c r="T41" s="134"/>
      <c r="U41" s="134"/>
      <c r="V41" s="134"/>
    </row>
    <row r="42" spans="1:22" s="28" customFormat="1" ht="11.1" customHeight="1" x14ac:dyDescent="0.2">
      <c r="A42" s="13"/>
      <c r="B42" s="155">
        <f>+VLOOKUP(B38,Hoja2!$E$1:$G$14,3,0)</f>
        <v>2368</v>
      </c>
      <c r="C42" s="84"/>
      <c r="D42" s="84"/>
      <c r="E42" s="84"/>
      <c r="F42" s="84"/>
      <c r="G42" s="84"/>
      <c r="H42" s="67"/>
      <c r="I42" s="13"/>
      <c r="J42" s="155">
        <f>+VLOOKUP(J38,Hoja2!$E$1:$G$14,3,0)</f>
        <v>2368</v>
      </c>
      <c r="K42" s="84"/>
      <c r="L42" s="84"/>
      <c r="M42" s="84"/>
      <c r="N42" s="84"/>
      <c r="O42" s="84"/>
      <c r="P42" s="12"/>
      <c r="T42" s="134"/>
      <c r="U42" s="134"/>
      <c r="V42" s="134"/>
    </row>
    <row r="43" spans="1:22" s="28" customFormat="1" ht="12" customHeight="1" x14ac:dyDescent="0.2">
      <c r="A43" s="82" t="s">
        <v>58</v>
      </c>
      <c r="B43" s="83"/>
      <c r="C43" s="83"/>
      <c r="D43" s="83"/>
      <c r="E43" s="83"/>
      <c r="F43" s="83"/>
      <c r="G43" s="83"/>
      <c r="H43" s="66"/>
      <c r="I43" s="82" t="s">
        <v>58</v>
      </c>
      <c r="J43" s="83"/>
      <c r="K43" s="83"/>
      <c r="L43" s="83"/>
      <c r="M43" s="83"/>
      <c r="N43" s="83"/>
      <c r="O43" s="83"/>
      <c r="P43" s="85"/>
    </row>
    <row r="44" spans="1:22" s="28" customFormat="1" ht="11.1" customHeight="1" x14ac:dyDescent="0.2">
      <c r="A44" s="13"/>
      <c r="B44" s="146" t="s">
        <v>139</v>
      </c>
      <c r="C44" s="84"/>
      <c r="D44" s="84"/>
      <c r="E44" s="84"/>
      <c r="F44" s="84"/>
      <c r="G44" s="84"/>
      <c r="H44" s="43"/>
      <c r="I44" s="13"/>
      <c r="J44" s="146" t="s">
        <v>141</v>
      </c>
      <c r="K44" s="84"/>
      <c r="L44" s="84"/>
      <c r="M44" s="84"/>
      <c r="N44" s="84"/>
      <c r="O44" s="84"/>
      <c r="P44" s="12"/>
    </row>
    <row r="45" spans="1:22" ht="6.95" customHeight="1" x14ac:dyDescent="0.25">
      <c r="A45" s="10"/>
      <c r="B45" s="4"/>
      <c r="C45" s="4"/>
      <c r="D45" s="4"/>
      <c r="E45" s="4"/>
      <c r="F45" s="4"/>
      <c r="G45" s="4"/>
      <c r="H45" s="5"/>
      <c r="I45" s="18"/>
      <c r="J45" s="16"/>
      <c r="K45" s="16"/>
      <c r="L45" s="16"/>
      <c r="M45" s="16"/>
      <c r="N45" s="16"/>
      <c r="O45" s="16"/>
      <c r="P45" s="3"/>
    </row>
    <row r="46" spans="1:22" ht="24" customHeight="1" x14ac:dyDescent="0.25">
      <c r="A46" s="152" t="s">
        <v>65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4"/>
    </row>
    <row r="47" spans="1:22" ht="6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</row>
    <row r="48" spans="1:22" ht="14.1" customHeight="1" x14ac:dyDescent="0.25">
      <c r="A48" s="6"/>
      <c r="B48" s="1" t="s">
        <v>18</v>
      </c>
      <c r="C48" s="78"/>
      <c r="D48" s="78"/>
      <c r="E48" s="78"/>
      <c r="F48" s="78"/>
      <c r="G48" s="78"/>
      <c r="H48" s="1"/>
      <c r="I48" s="86" t="s">
        <v>43</v>
      </c>
      <c r="J48" s="86"/>
      <c r="K48" s="86"/>
      <c r="L48" s="86"/>
      <c r="M48" s="86"/>
      <c r="N48" s="78"/>
      <c r="O48" s="78"/>
      <c r="P48" s="2"/>
    </row>
    <row r="49" spans="1:16" ht="14.1" customHeight="1" x14ac:dyDescent="0.25">
      <c r="A49" s="6"/>
      <c r="B49" s="136" t="s">
        <v>61</v>
      </c>
      <c r="C49" s="136"/>
      <c r="D49" s="136"/>
      <c r="E49" s="136"/>
      <c r="F49" s="136"/>
      <c r="G49" s="136"/>
      <c r="P49" s="2"/>
    </row>
    <row r="50" spans="1:16" ht="14.1" customHeight="1" x14ac:dyDescent="0.25">
      <c r="A50" s="6"/>
      <c r="B50" s="25" t="s">
        <v>14</v>
      </c>
      <c r="C50" s="78"/>
      <c r="D50" s="78"/>
      <c r="E50" s="51" t="s">
        <v>0</v>
      </c>
      <c r="F50" s="164"/>
      <c r="G50" s="164"/>
      <c r="P50" s="2"/>
    </row>
    <row r="51" spans="1:16" ht="8.1" customHeight="1" x14ac:dyDescent="0.25">
      <c r="A51" s="6"/>
      <c r="B51" s="25"/>
      <c r="C51" s="1"/>
      <c r="D51" s="1"/>
      <c r="E51" s="51"/>
      <c r="F51" s="58"/>
      <c r="G51" s="58"/>
      <c r="P51" s="2"/>
    </row>
    <row r="52" spans="1:16" x14ac:dyDescent="0.25">
      <c r="A52" s="6"/>
      <c r="B52" s="161" t="s">
        <v>64</v>
      </c>
      <c r="C52" s="161"/>
      <c r="D52" s="161"/>
      <c r="E52" s="161"/>
      <c r="F52" s="161"/>
      <c r="G52" s="161"/>
      <c r="H52" s="26"/>
      <c r="I52" s="1"/>
      <c r="J52" s="1"/>
      <c r="K52" s="1"/>
      <c r="P52" s="2"/>
    </row>
    <row r="53" spans="1:16" ht="81.95" customHeight="1" x14ac:dyDescent="0.25">
      <c r="A53" s="6"/>
      <c r="B53" s="78"/>
      <c r="C53" s="78"/>
      <c r="D53" s="78"/>
      <c r="F53" s="164"/>
      <c r="G53" s="164"/>
      <c r="H53" s="26"/>
      <c r="I53" s="1"/>
      <c r="J53" s="25" t="s">
        <v>38</v>
      </c>
      <c r="K53" s="140"/>
      <c r="L53" s="140"/>
      <c r="M53" s="140"/>
      <c r="N53" s="140"/>
      <c r="P53" s="2"/>
    </row>
    <row r="54" spans="1:16" x14ac:dyDescent="0.25">
      <c r="A54" s="6"/>
      <c r="B54" s="160" t="s">
        <v>62</v>
      </c>
      <c r="C54" s="160"/>
      <c r="D54" s="160"/>
      <c r="F54" s="160" t="s">
        <v>63</v>
      </c>
      <c r="G54" s="160"/>
      <c r="J54" s="1"/>
      <c r="K54" s="147" t="s">
        <v>35</v>
      </c>
      <c r="L54" s="147"/>
      <c r="M54" s="147"/>
      <c r="N54" s="147"/>
      <c r="O54" s="40"/>
      <c r="P54" s="2"/>
    </row>
    <row r="55" spans="1:16" ht="11.25" customHeight="1" x14ac:dyDescent="0.25">
      <c r="A55" s="10"/>
      <c r="G55" s="86"/>
      <c r="H55" s="86"/>
      <c r="I55" s="86"/>
      <c r="J55" s="86"/>
      <c r="K55" s="86"/>
      <c r="L55" s="1"/>
      <c r="M55" s="86"/>
      <c r="N55" s="86"/>
      <c r="O55" s="86"/>
      <c r="P55" s="3"/>
    </row>
    <row r="56" spans="1:16" ht="23.25" customHeight="1" x14ac:dyDescent="0.25">
      <c r="A56" s="126" t="s">
        <v>60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02"/>
    </row>
    <row r="57" spans="1:16" ht="28.5" customHeight="1" x14ac:dyDescent="0.25">
      <c r="A57" s="126" t="s">
        <v>59</v>
      </c>
      <c r="B57" s="127"/>
      <c r="C57" s="127"/>
      <c r="D57" s="127"/>
      <c r="E57" s="127"/>
      <c r="F57" s="127"/>
      <c r="G57" s="127"/>
      <c r="H57" s="102"/>
      <c r="I57" s="157" t="s">
        <v>142</v>
      </c>
      <c r="J57" s="127"/>
      <c r="K57" s="127"/>
      <c r="L57" s="127"/>
      <c r="M57" s="127"/>
      <c r="N57" s="127"/>
      <c r="O57" s="127"/>
      <c r="P57" s="102"/>
    </row>
    <row r="58" spans="1:16" ht="11.25" customHeight="1" x14ac:dyDescent="0.25">
      <c r="A58" s="6"/>
      <c r="I58" s="6"/>
      <c r="P58" s="2"/>
    </row>
    <row r="59" spans="1:16" ht="64.349999999999994" customHeight="1" x14ac:dyDescent="0.25">
      <c r="A59" s="6"/>
      <c r="I59" s="6"/>
      <c r="P59" s="2"/>
    </row>
    <row r="60" spans="1:16" x14ac:dyDescent="0.25">
      <c r="A60" s="148" t="s">
        <v>38</v>
      </c>
      <c r="B60" s="149"/>
      <c r="C60" s="78"/>
      <c r="D60" s="78"/>
      <c r="E60" s="78"/>
      <c r="F60" s="78"/>
      <c r="G60" s="78"/>
      <c r="I60" s="148" t="s">
        <v>38</v>
      </c>
      <c r="J60" s="149"/>
      <c r="K60" s="78"/>
      <c r="L60" s="78"/>
      <c r="M60" s="78"/>
      <c r="N60" s="78"/>
      <c r="O60" s="78"/>
      <c r="P60" s="2"/>
    </row>
    <row r="61" spans="1:16" ht="19.5" customHeight="1" x14ac:dyDescent="0.25">
      <c r="A61" s="148" t="s">
        <v>40</v>
      </c>
      <c r="B61" s="149"/>
      <c r="C61" s="168"/>
      <c r="D61" s="168"/>
      <c r="E61" s="168"/>
      <c r="F61" s="168"/>
      <c r="G61" s="168"/>
      <c r="I61" s="148" t="s">
        <v>40</v>
      </c>
      <c r="J61" s="149"/>
      <c r="K61" s="176"/>
      <c r="L61" s="176"/>
      <c r="M61" s="176"/>
      <c r="N61" s="176"/>
      <c r="O61" s="176"/>
      <c r="P61" s="2"/>
    </row>
    <row r="62" spans="1:16" ht="19.5" customHeight="1" x14ac:dyDescent="0.25">
      <c r="A62" s="148" t="s">
        <v>41</v>
      </c>
      <c r="B62" s="149"/>
      <c r="C62" s="168"/>
      <c r="D62" s="168"/>
      <c r="E62" s="168"/>
      <c r="F62" s="168"/>
      <c r="G62" s="168"/>
      <c r="I62" s="148" t="s">
        <v>41</v>
      </c>
      <c r="J62" s="149"/>
      <c r="K62" s="175"/>
      <c r="L62" s="175"/>
      <c r="M62" s="175"/>
      <c r="N62" s="175"/>
      <c r="O62" s="175"/>
      <c r="P62" s="2"/>
    </row>
    <row r="63" spans="1:16" ht="6" customHeight="1" x14ac:dyDescent="0.25">
      <c r="A63" s="10"/>
      <c r="B63" s="11"/>
      <c r="C63" s="11"/>
      <c r="D63" s="11"/>
      <c r="E63" s="11"/>
      <c r="F63" s="34"/>
      <c r="G63" s="34"/>
      <c r="H63" s="34"/>
      <c r="I63" s="41"/>
      <c r="J63" s="34"/>
      <c r="K63" s="34"/>
      <c r="L63" s="34"/>
      <c r="M63" s="11"/>
      <c r="N63" s="11"/>
      <c r="O63" s="31"/>
      <c r="P63" s="3"/>
    </row>
    <row r="64" spans="1:16" ht="6" customHeight="1" x14ac:dyDescent="0.25">
      <c r="L64" s="1"/>
      <c r="M64" s="1"/>
      <c r="N64" s="1"/>
      <c r="O64" s="1"/>
    </row>
    <row r="65" spans="1:18" x14ac:dyDescent="0.25">
      <c r="A65" s="135" t="s">
        <v>70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</row>
    <row r="66" spans="1:18" ht="5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spans="1:18" ht="37.5" customHeight="1" x14ac:dyDescent="0.25">
      <c r="A67" s="126" t="s">
        <v>66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02"/>
    </row>
    <row r="68" spans="1:18" ht="12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  <row r="69" spans="1:18" ht="36.75" customHeight="1" x14ac:dyDescent="0.25">
      <c r="A69" s="171" t="s">
        <v>53</v>
      </c>
      <c r="B69" s="172"/>
      <c r="C69" s="172"/>
      <c r="D69" s="172"/>
      <c r="E69" s="172"/>
      <c r="F69" s="172"/>
      <c r="G69" s="172"/>
      <c r="H69" s="173"/>
      <c r="I69" s="126" t="s">
        <v>16</v>
      </c>
      <c r="J69" s="127"/>
      <c r="K69" s="127"/>
      <c r="L69" s="127"/>
      <c r="M69" s="127"/>
      <c r="N69" s="127"/>
      <c r="O69" s="127"/>
      <c r="P69" s="102"/>
    </row>
    <row r="70" spans="1:18" ht="11.25" customHeight="1" x14ac:dyDescent="0.25">
      <c r="A70" s="20"/>
      <c r="B70" s="21"/>
      <c r="C70" s="21"/>
      <c r="D70" s="21"/>
      <c r="E70" s="21"/>
      <c r="F70" s="21"/>
      <c r="G70" s="21"/>
      <c r="H70" s="36"/>
      <c r="I70" s="20"/>
      <c r="J70" s="21"/>
      <c r="K70" s="21"/>
      <c r="L70" s="21"/>
      <c r="M70" s="21"/>
      <c r="N70" s="21"/>
      <c r="O70" s="21"/>
      <c r="P70" s="9"/>
    </row>
    <row r="71" spans="1:18" ht="44.25" customHeight="1" x14ac:dyDescent="0.25">
      <c r="A71" s="14"/>
      <c r="B71" s="27"/>
      <c r="C71" s="27"/>
      <c r="D71" s="27"/>
      <c r="E71" s="27"/>
      <c r="F71" s="27"/>
      <c r="G71" s="27"/>
      <c r="H71" s="47"/>
      <c r="I71" s="14"/>
      <c r="J71" s="27"/>
      <c r="K71" s="27"/>
      <c r="L71" s="27"/>
      <c r="M71" s="27"/>
      <c r="N71" s="27"/>
      <c r="O71" s="27"/>
      <c r="P71" s="2"/>
    </row>
    <row r="72" spans="1:18" ht="51.75" hidden="1" customHeight="1" x14ac:dyDescent="0.25">
      <c r="A72" s="14"/>
      <c r="B72" s="27"/>
      <c r="C72" s="27"/>
      <c r="D72" s="27"/>
      <c r="E72" s="27"/>
      <c r="F72" s="27"/>
      <c r="G72" s="27"/>
      <c r="H72" s="47"/>
      <c r="I72" s="14"/>
      <c r="J72" s="27"/>
      <c r="K72" s="27"/>
      <c r="L72" s="27"/>
      <c r="M72" s="27"/>
      <c r="N72" s="27"/>
      <c r="O72" s="27"/>
      <c r="P72" s="2"/>
    </row>
    <row r="73" spans="1:18" ht="18.75" customHeight="1" x14ac:dyDescent="0.25">
      <c r="A73" s="13"/>
      <c r="B73" s="25" t="s">
        <v>39</v>
      </c>
      <c r="C73" s="16"/>
      <c r="D73" s="16"/>
      <c r="E73" s="16"/>
      <c r="F73" s="16"/>
      <c r="G73" s="16"/>
      <c r="H73" s="43"/>
      <c r="I73" s="6"/>
      <c r="J73" s="25" t="s">
        <v>38</v>
      </c>
      <c r="K73" s="16"/>
      <c r="L73" s="16"/>
      <c r="M73" s="16"/>
      <c r="N73" s="16"/>
      <c r="O73" s="16"/>
      <c r="P73" s="2"/>
    </row>
    <row r="74" spans="1:18" ht="18.75" customHeight="1" x14ac:dyDescent="0.25">
      <c r="A74" s="13"/>
      <c r="B74" s="25" t="s">
        <v>40</v>
      </c>
      <c r="C74" s="138" t="str">
        <f>+A6&amp;" "&amp;I6</f>
        <v xml:space="preserve"> </v>
      </c>
      <c r="D74" s="138"/>
      <c r="E74" s="138"/>
      <c r="F74" s="138"/>
      <c r="G74" s="138"/>
      <c r="H74" s="37"/>
      <c r="I74" s="6"/>
      <c r="J74" s="25" t="s">
        <v>40</v>
      </c>
      <c r="K74" s="57"/>
      <c r="L74" s="57"/>
      <c r="M74" s="57"/>
      <c r="N74" s="57"/>
      <c r="O74" s="57"/>
      <c r="P74" s="2"/>
    </row>
    <row r="75" spans="1:18" ht="19.5" customHeight="1" x14ac:dyDescent="0.25">
      <c r="A75" s="13"/>
      <c r="B75" s="25" t="s">
        <v>0</v>
      </c>
      <c r="C75" s="174">
        <f>+K5</f>
        <v>46121</v>
      </c>
      <c r="D75" s="138"/>
      <c r="E75" s="138"/>
      <c r="F75" s="138"/>
      <c r="G75" s="138"/>
      <c r="H75" s="37"/>
      <c r="I75" s="6"/>
      <c r="J75" s="25" t="s">
        <v>0</v>
      </c>
      <c r="K75" s="57"/>
      <c r="L75" s="57"/>
      <c r="M75" s="57"/>
      <c r="N75" s="57"/>
      <c r="O75" s="57"/>
      <c r="P75" s="2"/>
      <c r="R75" s="56"/>
    </row>
    <row r="76" spans="1:18" ht="19.5" customHeight="1" x14ac:dyDescent="0.25">
      <c r="A76" s="13"/>
      <c r="B76" s="25" t="s">
        <v>44</v>
      </c>
      <c r="C76" s="57"/>
      <c r="D76" s="57"/>
      <c r="E76" s="57"/>
      <c r="F76" s="57"/>
      <c r="G76" s="57"/>
      <c r="H76" s="37"/>
      <c r="I76" s="6"/>
      <c r="K76" s="169" t="s">
        <v>69</v>
      </c>
      <c r="L76" s="169"/>
      <c r="M76" s="169"/>
      <c r="N76" s="169"/>
      <c r="O76" s="169"/>
      <c r="P76" s="2"/>
      <c r="R76" s="56" t="s">
        <v>68</v>
      </c>
    </row>
    <row r="77" spans="1:18" ht="19.5" customHeight="1" x14ac:dyDescent="0.25">
      <c r="A77" s="13"/>
      <c r="H77" s="2"/>
      <c r="I77" s="6"/>
      <c r="J77" s="25" t="s">
        <v>45</v>
      </c>
      <c r="K77" s="170"/>
      <c r="L77" s="170"/>
      <c r="M77" s="170"/>
      <c r="N77" s="170"/>
      <c r="O77" s="170"/>
      <c r="P77" s="2"/>
      <c r="R77" s="56" t="s">
        <v>68</v>
      </c>
    </row>
    <row r="78" spans="1:18" ht="19.5" customHeight="1" x14ac:dyDescent="0.25">
      <c r="A78" s="13"/>
      <c r="H78" s="2"/>
      <c r="I78" s="6"/>
      <c r="J78" s="25"/>
      <c r="K78" s="170"/>
      <c r="L78" s="170"/>
      <c r="M78" s="170"/>
      <c r="N78" s="170"/>
      <c r="O78" s="170"/>
      <c r="P78" s="2"/>
      <c r="R78" s="56"/>
    </row>
    <row r="79" spans="1:18" ht="15.75" customHeight="1" x14ac:dyDescent="0.25">
      <c r="A79" s="13"/>
      <c r="H79" s="2"/>
      <c r="I79" s="6"/>
      <c r="K79" s="170"/>
      <c r="L79" s="170"/>
      <c r="M79" s="170"/>
      <c r="N79" s="170"/>
      <c r="O79" s="170"/>
      <c r="P79" s="2"/>
    </row>
    <row r="80" spans="1:18" ht="10.5" customHeight="1" x14ac:dyDescent="0.25">
      <c r="A80" s="15"/>
      <c r="B80" s="17"/>
      <c r="C80" s="16"/>
      <c r="D80" s="16"/>
      <c r="E80" s="16"/>
      <c r="F80" s="16"/>
      <c r="G80" s="17"/>
      <c r="H80" s="48"/>
      <c r="I80" s="15"/>
      <c r="J80" s="11"/>
      <c r="K80" s="50"/>
      <c r="L80" s="50"/>
      <c r="M80" s="50"/>
      <c r="N80" s="50"/>
      <c r="O80" s="50"/>
      <c r="P80" s="3"/>
    </row>
    <row r="81" spans="1:22" ht="12" customHeight="1" x14ac:dyDescent="0.25">
      <c r="A81" s="28"/>
      <c r="B81" s="28"/>
      <c r="C81" s="30"/>
      <c r="D81" s="30"/>
      <c r="E81" s="30"/>
      <c r="F81" s="30"/>
      <c r="G81" s="28"/>
      <c r="H81" s="28"/>
      <c r="I81" s="28"/>
      <c r="J81" s="28"/>
      <c r="K81" s="28"/>
      <c r="L81" s="30"/>
      <c r="M81" s="30"/>
      <c r="N81" s="30"/>
      <c r="O81" s="30"/>
    </row>
    <row r="82" spans="1:22" ht="36.75" customHeight="1" x14ac:dyDescent="0.25">
      <c r="A82" s="103" t="s">
        <v>50</v>
      </c>
      <c r="B82" s="103"/>
      <c r="C82" s="103"/>
      <c r="D82" s="103"/>
      <c r="E82" s="103"/>
      <c r="F82" s="103" t="s">
        <v>51</v>
      </c>
      <c r="G82" s="103"/>
      <c r="H82" s="103"/>
      <c r="I82" s="103"/>
      <c r="J82" s="103"/>
      <c r="K82" s="103"/>
      <c r="L82" s="103" t="s">
        <v>52</v>
      </c>
      <c r="M82" s="103"/>
      <c r="N82" s="103"/>
      <c r="O82" s="103"/>
      <c r="P82" s="103"/>
    </row>
    <row r="83" spans="1:22" ht="11.25" customHeight="1" x14ac:dyDescent="0.25">
      <c r="A83" s="14"/>
      <c r="B83" s="27"/>
      <c r="C83" s="27"/>
      <c r="D83" s="27"/>
      <c r="E83" s="47"/>
      <c r="F83" s="14"/>
      <c r="G83" s="27"/>
      <c r="H83" s="27"/>
      <c r="I83" s="27"/>
      <c r="J83" s="27"/>
      <c r="K83" s="47"/>
      <c r="L83" s="14"/>
      <c r="M83" s="27"/>
      <c r="N83" s="27"/>
      <c r="O83" s="27"/>
      <c r="P83" s="2"/>
    </row>
    <row r="84" spans="1:22" ht="51.75" customHeight="1" x14ac:dyDescent="0.25">
      <c r="A84" s="13"/>
      <c r="B84" s="28"/>
      <c r="C84" s="28"/>
      <c r="D84" s="28"/>
      <c r="E84" s="12"/>
      <c r="F84" s="13"/>
      <c r="G84" s="28"/>
      <c r="H84" s="28"/>
      <c r="I84" s="28"/>
      <c r="J84" s="28"/>
      <c r="K84" s="12"/>
      <c r="L84" s="13"/>
      <c r="M84" s="28"/>
      <c r="N84" s="28"/>
      <c r="O84" s="28"/>
      <c r="P84" s="2"/>
      <c r="S84" s="25"/>
      <c r="T84" s="26"/>
      <c r="U84" s="26"/>
      <c r="V84" s="26"/>
    </row>
    <row r="85" spans="1:22" ht="11.25" customHeight="1" x14ac:dyDescent="0.25">
      <c r="A85" s="13"/>
      <c r="B85" s="28"/>
      <c r="C85" s="28"/>
      <c r="D85" s="28"/>
      <c r="E85" s="12"/>
      <c r="F85" s="13"/>
      <c r="G85" s="28"/>
      <c r="H85" s="28"/>
      <c r="I85" s="28"/>
      <c r="J85" s="28"/>
      <c r="K85" s="12"/>
      <c r="L85" s="13"/>
      <c r="M85" s="28"/>
      <c r="N85" s="28"/>
      <c r="O85" s="28"/>
      <c r="P85" s="2"/>
      <c r="S85" s="25"/>
      <c r="T85" s="26"/>
      <c r="U85" s="26"/>
      <c r="V85" s="26"/>
    </row>
    <row r="86" spans="1:22" ht="18.75" customHeight="1" x14ac:dyDescent="0.25">
      <c r="A86" s="6"/>
      <c r="B86" s="25" t="s">
        <v>38</v>
      </c>
      <c r="C86" s="141"/>
      <c r="D86" s="141"/>
      <c r="E86" s="142"/>
      <c r="F86" s="69" t="s">
        <v>38</v>
      </c>
      <c r="G86" s="141"/>
      <c r="H86" s="141"/>
      <c r="I86" s="141"/>
      <c r="J86" s="141"/>
      <c r="K86" s="142"/>
      <c r="L86" s="69" t="s">
        <v>38</v>
      </c>
      <c r="M86" s="141"/>
      <c r="N86" s="141"/>
      <c r="O86" s="141"/>
      <c r="P86" s="2"/>
      <c r="S86" s="25"/>
      <c r="T86" s="26"/>
      <c r="U86" s="26"/>
      <c r="V86" s="26"/>
    </row>
    <row r="87" spans="1:22" ht="18.75" customHeight="1" x14ac:dyDescent="0.25">
      <c r="A87" s="6"/>
      <c r="B87" s="59" t="s">
        <v>40</v>
      </c>
      <c r="C87" s="97"/>
      <c r="D87" s="97"/>
      <c r="E87" s="98"/>
      <c r="F87" s="69" t="s">
        <v>40</v>
      </c>
      <c r="G87" s="141"/>
      <c r="H87" s="141"/>
      <c r="I87" s="141"/>
      <c r="J87" s="141"/>
      <c r="K87" s="142"/>
      <c r="L87" s="69" t="s">
        <v>40</v>
      </c>
      <c r="M87" s="97"/>
      <c r="N87" s="97"/>
      <c r="O87" s="98"/>
      <c r="P87" s="42"/>
      <c r="S87" s="25"/>
      <c r="T87" s="136"/>
      <c r="U87" s="136"/>
      <c r="V87" s="136"/>
    </row>
    <row r="88" spans="1:22" ht="18.75" customHeight="1" x14ac:dyDescent="0.25">
      <c r="A88" s="6"/>
      <c r="B88" s="59" t="s">
        <v>41</v>
      </c>
      <c r="C88" s="97"/>
      <c r="D88" s="97"/>
      <c r="E88" s="98"/>
      <c r="F88" s="69" t="s">
        <v>41</v>
      </c>
      <c r="G88" s="141"/>
      <c r="H88" s="141"/>
      <c r="I88" s="141"/>
      <c r="J88" s="141"/>
      <c r="K88" s="142"/>
      <c r="L88" s="69" t="s">
        <v>41</v>
      </c>
      <c r="M88" s="97"/>
      <c r="N88" s="97"/>
      <c r="O88" s="98"/>
      <c r="P88" s="37"/>
      <c r="S88" s="25"/>
      <c r="T88" s="26"/>
      <c r="U88" s="26"/>
      <c r="V88" s="26"/>
    </row>
    <row r="89" spans="1:22" ht="23.25" customHeight="1" x14ac:dyDescent="0.25">
      <c r="A89" s="15"/>
      <c r="B89" s="17"/>
      <c r="C89" s="70"/>
      <c r="D89" s="70"/>
      <c r="E89" s="71"/>
      <c r="F89" s="72"/>
      <c r="G89" s="73"/>
      <c r="H89" s="73"/>
      <c r="I89" s="74"/>
      <c r="J89" s="70"/>
      <c r="K89" s="75"/>
      <c r="L89" s="76"/>
      <c r="M89" s="77"/>
      <c r="N89" s="77"/>
      <c r="O89" s="77"/>
      <c r="P89" s="3"/>
    </row>
    <row r="90" spans="1:22" ht="55.5" customHeight="1" x14ac:dyDescent="0.25">
      <c r="A90" s="28"/>
      <c r="B90" s="28"/>
      <c r="C90" s="25"/>
      <c r="D90" s="25"/>
      <c r="E90" s="61"/>
      <c r="F90" s="61"/>
      <c r="G90" s="61"/>
      <c r="H90" s="61"/>
      <c r="I90" s="52"/>
      <c r="J90" s="25"/>
      <c r="K90" s="25"/>
      <c r="L90" s="26"/>
      <c r="M90" s="26"/>
      <c r="N90" s="26"/>
      <c r="O90" s="26"/>
    </row>
    <row r="91" spans="1:22" ht="11.25" customHeight="1" thickBot="1" x14ac:dyDescent="0.3">
      <c r="A91" s="44"/>
      <c r="B91" s="44"/>
      <c r="C91" s="45"/>
      <c r="D91" s="45"/>
      <c r="E91" s="45"/>
      <c r="F91" s="45"/>
      <c r="G91" s="44"/>
      <c r="H91" s="44"/>
      <c r="I91" s="44"/>
      <c r="J91" s="44"/>
      <c r="K91" s="44"/>
      <c r="L91" s="45"/>
      <c r="M91" s="45"/>
      <c r="N91" s="45"/>
      <c r="O91" s="45"/>
      <c r="P91" s="46"/>
    </row>
    <row r="92" spans="1:22" ht="12" customHeight="1" x14ac:dyDescent="0.25">
      <c r="A92" s="28"/>
      <c r="B92" s="28"/>
      <c r="C92" s="30"/>
      <c r="D92" s="30"/>
      <c r="E92" s="30"/>
      <c r="F92" s="30"/>
      <c r="G92" s="28"/>
      <c r="H92" s="28"/>
      <c r="I92" s="28"/>
      <c r="J92" s="28"/>
      <c r="K92" s="28"/>
      <c r="L92" s="30"/>
      <c r="M92" s="30"/>
      <c r="N92" s="30"/>
      <c r="O92" s="30"/>
    </row>
    <row r="93" spans="1:22" ht="39.75" customHeight="1" x14ac:dyDescent="0.25">
      <c r="A93" s="144" t="s">
        <v>54</v>
      </c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</row>
    <row r="94" spans="1:22" ht="12" customHeight="1" thickBot="1" x14ac:dyDescent="0.3">
      <c r="A94" s="44"/>
      <c r="B94" s="44"/>
      <c r="C94" s="45"/>
      <c r="D94" s="45"/>
      <c r="E94" s="45"/>
      <c r="F94" s="45"/>
      <c r="G94" s="44"/>
      <c r="H94" s="44"/>
      <c r="I94" s="44"/>
      <c r="J94" s="44"/>
      <c r="K94" s="44"/>
      <c r="L94" s="45"/>
      <c r="M94" s="45"/>
      <c r="N94" s="45"/>
      <c r="O94" s="45"/>
      <c r="P94" s="46"/>
    </row>
    <row r="95" spans="1:22" ht="11.25" customHeight="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</row>
    <row r="96" spans="1:22" ht="36.75" customHeight="1" x14ac:dyDescent="0.25">
      <c r="A96" s="126" t="s">
        <v>55</v>
      </c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02"/>
    </row>
    <row r="97" spans="1:16" ht="35.25" customHeight="1" x14ac:dyDescent="0.25">
      <c r="A97" s="19"/>
      <c r="B97" s="22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9"/>
    </row>
    <row r="98" spans="1:16" ht="18.75" customHeight="1" x14ac:dyDescent="0.25">
      <c r="A98" s="13"/>
      <c r="C98" s="53" t="s">
        <v>36</v>
      </c>
      <c r="D98" s="53"/>
      <c r="E98" s="53"/>
      <c r="F98" s="53"/>
      <c r="I98" s="54"/>
      <c r="L98" s="53"/>
      <c r="M98" s="27"/>
      <c r="N98" s="27"/>
      <c r="O98" s="27"/>
      <c r="P98" s="2"/>
    </row>
    <row r="99" spans="1:16" ht="5.25" customHeight="1" x14ac:dyDescent="0.25">
      <c r="A99" s="13"/>
      <c r="B99" s="2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"/>
    </row>
    <row r="100" spans="1:16" ht="16.5" customHeight="1" x14ac:dyDescent="0.25">
      <c r="A100" s="13"/>
      <c r="B100" s="2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"/>
    </row>
    <row r="101" spans="1:16" ht="18.75" customHeight="1" x14ac:dyDescent="0.25">
      <c r="A101" s="13"/>
      <c r="B101" s="28"/>
      <c r="C101" s="51" t="s">
        <v>0</v>
      </c>
      <c r="D101" s="139"/>
      <c r="E101" s="140"/>
      <c r="F101" s="140"/>
      <c r="H101" s="26"/>
      <c r="I101" s="30"/>
      <c r="J101" s="51" t="s">
        <v>44</v>
      </c>
      <c r="K101" s="140"/>
      <c r="L101" s="140"/>
      <c r="M101" s="140"/>
      <c r="N101" s="1"/>
      <c r="P101" s="2"/>
    </row>
    <row r="102" spans="1:16" x14ac:dyDescent="0.25">
      <c r="A102" s="13"/>
      <c r="B102" s="28"/>
      <c r="H102" s="26"/>
      <c r="I102" s="1"/>
      <c r="P102" s="2"/>
    </row>
    <row r="103" spans="1:16" ht="27.75" customHeight="1" x14ac:dyDescent="0.25">
      <c r="A103" s="13"/>
      <c r="C103" s="51" t="s">
        <v>46</v>
      </c>
      <c r="D103" s="137"/>
      <c r="E103" s="137"/>
      <c r="F103" s="137"/>
      <c r="H103" s="26"/>
      <c r="I103" s="27"/>
      <c r="O103" s="30"/>
      <c r="P103" s="2"/>
    </row>
    <row r="104" spans="1:16" ht="27.75" customHeight="1" x14ac:dyDescent="0.25">
      <c r="A104" s="13"/>
      <c r="B104" s="28"/>
      <c r="C104" s="28"/>
      <c r="D104" s="137"/>
      <c r="E104" s="137"/>
      <c r="F104" s="137"/>
      <c r="H104" s="26"/>
      <c r="I104" s="30"/>
      <c r="J104" s="28"/>
      <c r="O104" s="30"/>
      <c r="P104" s="2"/>
    </row>
    <row r="105" spans="1:16" ht="27.75" customHeight="1" x14ac:dyDescent="0.25">
      <c r="A105" s="13"/>
      <c r="B105" s="28"/>
      <c r="C105" s="28"/>
      <c r="D105" s="145"/>
      <c r="E105" s="145"/>
      <c r="F105" s="145"/>
      <c r="G105" s="26"/>
      <c r="H105" s="26"/>
      <c r="I105" s="30"/>
      <c r="J105" s="30"/>
      <c r="K105" s="30"/>
      <c r="O105" s="30"/>
      <c r="P105" s="2"/>
    </row>
    <row r="106" spans="1:16" ht="20.25" customHeight="1" x14ac:dyDescent="0.25">
      <c r="A106" s="13"/>
      <c r="B106" s="28"/>
      <c r="C106" s="28"/>
      <c r="D106" s="30"/>
      <c r="E106" s="30"/>
      <c r="F106" s="30"/>
      <c r="G106" s="26"/>
      <c r="H106" s="26"/>
      <c r="I106" s="30"/>
      <c r="J106" s="30"/>
      <c r="K106" s="30"/>
      <c r="O106" s="30"/>
      <c r="P106" s="2"/>
    </row>
    <row r="107" spans="1:16" ht="35.25" customHeight="1" x14ac:dyDescent="0.25">
      <c r="A107" s="13"/>
      <c r="B107" s="28"/>
      <c r="C107" s="28"/>
      <c r="D107" s="28"/>
      <c r="E107" s="26"/>
      <c r="F107" s="86"/>
      <c r="G107" s="86"/>
      <c r="H107" s="86"/>
      <c r="I107" s="86"/>
      <c r="J107" s="86"/>
      <c r="K107" s="86"/>
      <c r="O107" s="30"/>
      <c r="P107" s="2"/>
    </row>
    <row r="108" spans="1:16" ht="59.25" customHeight="1" x14ac:dyDescent="0.25">
      <c r="A108" s="13"/>
      <c r="B108" s="28"/>
      <c r="C108" s="28"/>
      <c r="D108" s="28"/>
      <c r="E108" s="26"/>
      <c r="F108" s="1"/>
      <c r="G108" s="1"/>
      <c r="H108" s="1"/>
      <c r="I108" s="1"/>
      <c r="J108" s="1"/>
      <c r="K108" s="1"/>
      <c r="O108" s="30"/>
      <c r="P108" s="2"/>
    </row>
    <row r="109" spans="1:16" ht="18.75" customHeight="1" x14ac:dyDescent="0.25">
      <c r="A109" s="13"/>
      <c r="B109" s="28"/>
      <c r="C109" s="55"/>
      <c r="D109" s="55"/>
      <c r="E109" s="28"/>
      <c r="F109" s="143" t="s">
        <v>67</v>
      </c>
      <c r="G109" s="143"/>
      <c r="H109" s="143"/>
      <c r="I109" s="143"/>
      <c r="J109" s="143"/>
      <c r="K109" s="143"/>
      <c r="O109" s="30"/>
      <c r="P109" s="2"/>
    </row>
    <row r="110" spans="1:16" ht="18.75" customHeight="1" x14ac:dyDescent="0.25">
      <c r="A110" s="13"/>
      <c r="B110" s="28"/>
      <c r="C110" s="55"/>
      <c r="D110" s="55"/>
      <c r="E110" s="28"/>
      <c r="F110" s="60"/>
      <c r="G110" s="60"/>
      <c r="H110" s="60"/>
      <c r="I110" s="60"/>
      <c r="J110" s="60"/>
      <c r="K110" s="60"/>
      <c r="O110" s="30"/>
      <c r="P110" s="2"/>
    </row>
    <row r="111" spans="1:16" ht="18.75" customHeight="1" x14ac:dyDescent="0.25">
      <c r="A111" s="13"/>
      <c r="B111" s="28"/>
      <c r="C111" s="55"/>
      <c r="D111" s="55"/>
      <c r="E111" s="28"/>
      <c r="F111" s="25" t="s">
        <v>40</v>
      </c>
      <c r="G111" s="137"/>
      <c r="H111" s="137"/>
      <c r="I111" s="137"/>
      <c r="J111" s="137"/>
      <c r="K111" s="137"/>
      <c r="O111" s="30"/>
      <c r="P111" s="2"/>
    </row>
    <row r="112" spans="1:16" ht="18.75" customHeight="1" x14ac:dyDescent="0.25">
      <c r="A112" s="13"/>
      <c r="B112" s="28"/>
      <c r="C112" s="55"/>
      <c r="D112" s="55"/>
      <c r="E112" s="28"/>
      <c r="F112" s="25" t="s">
        <v>41</v>
      </c>
      <c r="G112" s="138"/>
      <c r="H112" s="138"/>
      <c r="I112" s="138"/>
      <c r="J112" s="138"/>
      <c r="K112" s="138"/>
      <c r="O112" s="30"/>
      <c r="P112" s="2"/>
    </row>
    <row r="113" spans="1:16" ht="18" customHeight="1" x14ac:dyDescent="0.25">
      <c r="A113" s="13"/>
      <c r="B113" s="28"/>
      <c r="C113" s="28"/>
      <c r="D113" s="28"/>
      <c r="E113" s="28"/>
      <c r="F113" s="25"/>
      <c r="M113" s="52"/>
      <c r="N113" s="52"/>
      <c r="O113" s="52"/>
      <c r="P113" s="2"/>
    </row>
    <row r="114" spans="1:16" ht="18.75" customHeight="1" x14ac:dyDescent="0.25">
      <c r="A114" s="13"/>
      <c r="B114" s="84" t="s">
        <v>37</v>
      </c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2"/>
    </row>
    <row r="115" spans="1:16" ht="18.75" customHeight="1" x14ac:dyDescent="0.25">
      <c r="A115" s="13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2"/>
    </row>
    <row r="116" spans="1:16" ht="12" customHeight="1" x14ac:dyDescent="0.25">
      <c r="A116" s="10"/>
      <c r="B116" s="32"/>
      <c r="C116" s="32"/>
      <c r="D116" s="32"/>
      <c r="E116" s="32"/>
      <c r="F116" s="32"/>
      <c r="G116" s="32"/>
      <c r="H116" s="32"/>
      <c r="I116" s="33"/>
      <c r="J116" s="33"/>
      <c r="K116" s="33"/>
      <c r="L116" s="11"/>
      <c r="M116" s="32"/>
      <c r="N116" s="32"/>
      <c r="O116" s="32"/>
      <c r="P116" s="3"/>
    </row>
    <row r="117" spans="1:16" ht="6" customHeight="1" x14ac:dyDescent="0.25">
      <c r="A117" s="28"/>
      <c r="B117" s="28"/>
      <c r="C117" s="30"/>
      <c r="D117" s="30"/>
      <c r="E117" s="30"/>
      <c r="F117" s="30"/>
      <c r="G117" s="28"/>
      <c r="H117" s="28"/>
      <c r="I117" s="28"/>
      <c r="J117" s="28"/>
      <c r="K117" s="28"/>
      <c r="L117" s="30"/>
      <c r="M117" s="30"/>
      <c r="N117" s="30"/>
      <c r="O117" s="30"/>
    </row>
    <row r="118" spans="1:16" x14ac:dyDescent="0.25">
      <c r="A118" s="135" t="s">
        <v>70</v>
      </c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</row>
    <row r="119" spans="1:16" ht="6" customHeight="1" x14ac:dyDescent="0.25">
      <c r="A119" s="28"/>
      <c r="B119" s="28"/>
      <c r="C119" s="30"/>
      <c r="D119" s="30"/>
      <c r="E119" s="30"/>
      <c r="F119" s="30"/>
      <c r="G119" s="28"/>
      <c r="H119" s="28"/>
      <c r="I119" s="28"/>
      <c r="J119" s="28"/>
      <c r="K119" s="28"/>
      <c r="L119" s="30"/>
      <c r="M119" s="30"/>
      <c r="N119" s="30"/>
      <c r="O119" s="30"/>
    </row>
  </sheetData>
  <mergeCells count="144">
    <mergeCell ref="B19:C19"/>
    <mergeCell ref="B21:L21"/>
    <mergeCell ref="M21:O21"/>
    <mergeCell ref="A62:B62"/>
    <mergeCell ref="C62:G62"/>
    <mergeCell ref="I62:J62"/>
    <mergeCell ref="M86:O86"/>
    <mergeCell ref="M87:O87"/>
    <mergeCell ref="K76:O79"/>
    <mergeCell ref="A69:H69"/>
    <mergeCell ref="I69:P69"/>
    <mergeCell ref="A67:P67"/>
    <mergeCell ref="C74:G74"/>
    <mergeCell ref="C75:G75"/>
    <mergeCell ref="K62:O62"/>
    <mergeCell ref="I61:J61"/>
    <mergeCell ref="C60:G60"/>
    <mergeCell ref="A61:B61"/>
    <mergeCell ref="C61:G61"/>
    <mergeCell ref="K61:O61"/>
    <mergeCell ref="I33:P33"/>
    <mergeCell ref="I35:P35"/>
    <mergeCell ref="J34:O34"/>
    <mergeCell ref="J32:O32"/>
    <mergeCell ref="I60:J60"/>
    <mergeCell ref="G20:O20"/>
    <mergeCell ref="M18:O18"/>
    <mergeCell ref="B54:D54"/>
    <mergeCell ref="F54:G54"/>
    <mergeCell ref="B52:G52"/>
    <mergeCell ref="B49:G49"/>
    <mergeCell ref="K60:O60"/>
    <mergeCell ref="A41:G41"/>
    <mergeCell ref="I41:P41"/>
    <mergeCell ref="A24:O24"/>
    <mergeCell ref="C50:D50"/>
    <mergeCell ref="F50:G50"/>
    <mergeCell ref="F53:G53"/>
    <mergeCell ref="B53:D53"/>
    <mergeCell ref="A39:G39"/>
    <mergeCell ref="B40:G40"/>
    <mergeCell ref="I37:P37"/>
    <mergeCell ref="I39:P39"/>
    <mergeCell ref="B42:G42"/>
    <mergeCell ref="A25:H25"/>
    <mergeCell ref="I27:P27"/>
    <mergeCell ref="A23:P23"/>
    <mergeCell ref="B18:C18"/>
    <mergeCell ref="T42:V42"/>
    <mergeCell ref="A65:O65"/>
    <mergeCell ref="B32:G32"/>
    <mergeCell ref="B34:G34"/>
    <mergeCell ref="I43:P43"/>
    <mergeCell ref="A33:G33"/>
    <mergeCell ref="J44:O44"/>
    <mergeCell ref="B44:G44"/>
    <mergeCell ref="A43:G43"/>
    <mergeCell ref="K53:N53"/>
    <mergeCell ref="K54:N54"/>
    <mergeCell ref="A60:B60"/>
    <mergeCell ref="M55:O55"/>
    <mergeCell ref="G55:K55"/>
    <mergeCell ref="A56:P56"/>
    <mergeCell ref="N48:O48"/>
    <mergeCell ref="A35:G35"/>
    <mergeCell ref="B36:G36"/>
    <mergeCell ref="A57:H57"/>
    <mergeCell ref="A46:P46"/>
    <mergeCell ref="J42:O42"/>
    <mergeCell ref="J40:O40"/>
    <mergeCell ref="T37:V37"/>
    <mergeCell ref="I57:P57"/>
    <mergeCell ref="T41:V41"/>
    <mergeCell ref="A118:O118"/>
    <mergeCell ref="T87:V87"/>
    <mergeCell ref="A96:P96"/>
    <mergeCell ref="L82:P82"/>
    <mergeCell ref="F107:K107"/>
    <mergeCell ref="B114:O114"/>
    <mergeCell ref="G111:K111"/>
    <mergeCell ref="G112:K112"/>
    <mergeCell ref="A82:E82"/>
    <mergeCell ref="F82:K82"/>
    <mergeCell ref="D101:F101"/>
    <mergeCell ref="K101:M101"/>
    <mergeCell ref="M88:O88"/>
    <mergeCell ref="G86:K86"/>
    <mergeCell ref="G87:K87"/>
    <mergeCell ref="G88:K88"/>
    <mergeCell ref="F109:K109"/>
    <mergeCell ref="A93:P93"/>
    <mergeCell ref="D105:F105"/>
    <mergeCell ref="D103:F103"/>
    <mergeCell ref="D104:F104"/>
    <mergeCell ref="C86:E86"/>
    <mergeCell ref="C87:E87"/>
    <mergeCell ref="C88:E88"/>
    <mergeCell ref="K1:P1"/>
    <mergeCell ref="K2:P2"/>
    <mergeCell ref="K3:L3"/>
    <mergeCell ref="K4:P4"/>
    <mergeCell ref="K5:P5"/>
    <mergeCell ref="A1:J5"/>
    <mergeCell ref="E9:H10"/>
    <mergeCell ref="I6:P7"/>
    <mergeCell ref="I8:P8"/>
    <mergeCell ref="I9:P9"/>
    <mergeCell ref="A9:D10"/>
    <mergeCell ref="M19:O19"/>
    <mergeCell ref="M22:O22"/>
    <mergeCell ref="I25:P25"/>
    <mergeCell ref="I48:M48"/>
    <mergeCell ref="A27:G27"/>
    <mergeCell ref="M3:P3"/>
    <mergeCell ref="A6:H7"/>
    <mergeCell ref="A8:H8"/>
    <mergeCell ref="M10:P10"/>
    <mergeCell ref="I10:L10"/>
    <mergeCell ref="B28:G28"/>
    <mergeCell ref="B30:G30"/>
    <mergeCell ref="C48:G48"/>
    <mergeCell ref="E11:H11"/>
    <mergeCell ref="A11:D11"/>
    <mergeCell ref="A29:G29"/>
    <mergeCell ref="J30:O30"/>
    <mergeCell ref="J28:O28"/>
    <mergeCell ref="A31:G31"/>
    <mergeCell ref="I29:P29"/>
    <mergeCell ref="J38:O38"/>
    <mergeCell ref="J36:O36"/>
    <mergeCell ref="A37:G37"/>
    <mergeCell ref="B38:G38"/>
    <mergeCell ref="I31:P31"/>
    <mergeCell ref="B20:F20"/>
    <mergeCell ref="I11:L11"/>
    <mergeCell ref="M11:P11"/>
    <mergeCell ref="A12:P12"/>
    <mergeCell ref="M14:O14"/>
    <mergeCell ref="M15:O15"/>
    <mergeCell ref="M16:O16"/>
    <mergeCell ref="M17:O17"/>
    <mergeCell ref="B15:C15"/>
    <mergeCell ref="B16:C16"/>
    <mergeCell ref="B17:C17"/>
  </mergeCells>
  <dataValidations count="3">
    <dataValidation type="list" allowBlank="1" showInputMessage="1" showErrorMessage="1" sqref="H28" xr:uid="{10E01B42-B597-402D-BF88-0ACA852BE5A5}">
      <formula1>"GOBERNANTE,SUSTANTIVO,ADJETIVO"</formula1>
    </dataValidation>
    <dataValidation operator="equal" allowBlank="1" showInputMessage="1" showErrorMessage="1" sqref="E11" xr:uid="{E2D24F89-603E-4819-B49F-DCC9F4B48E7C}"/>
    <dataValidation type="list" operator="equal" allowBlank="1" showInputMessage="1" showErrorMessage="1" sqref="A11:D11" xr:uid="{5ADE9B64-33B2-4E8E-A346-75B86B713B55}">
      <formula1>"CÉDULA,PASAPORTE"</formula1>
    </dataValidation>
  </dataValidations>
  <pageMargins left="0.35433070866141736" right="0.15748031496062992" top="0.27559055118110237" bottom="0.27559055118110237" header="0.15748031496062992" footer="0.15748031496062992"/>
  <pageSetup paperSize="9" scale="66" fitToHeight="0" orientation="portrait" r:id="rId1"/>
  <rowBreaks count="1" manualBreakCount="1">
    <brk id="66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3</xdr:col>
                    <xdr:colOff>276225</xdr:colOff>
                    <xdr:row>15</xdr:row>
                    <xdr:rowOff>9525</xdr:rowOff>
                  </from>
                  <to>
                    <xdr:col>5</xdr:col>
                    <xdr:colOff>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9525</xdr:rowOff>
                  </from>
                  <to>
                    <xdr:col>5</xdr:col>
                    <xdr:colOff>19050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9525</xdr:rowOff>
                  </from>
                  <to>
                    <xdr:col>5</xdr:col>
                    <xdr:colOff>19050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6</xdr:col>
                    <xdr:colOff>381000</xdr:colOff>
                    <xdr:row>13</xdr:row>
                    <xdr:rowOff>9525</xdr:rowOff>
                  </from>
                  <to>
                    <xdr:col>9</xdr:col>
                    <xdr:colOff>781050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6</xdr:col>
                    <xdr:colOff>381000</xdr:colOff>
                    <xdr:row>14</xdr:row>
                    <xdr:rowOff>9525</xdr:rowOff>
                  </from>
                  <to>
                    <xdr:col>9</xdr:col>
                    <xdr:colOff>781050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6</xdr:col>
                    <xdr:colOff>381000</xdr:colOff>
                    <xdr:row>15</xdr:row>
                    <xdr:rowOff>9525</xdr:rowOff>
                  </from>
                  <to>
                    <xdr:col>9</xdr:col>
                    <xdr:colOff>781050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6</xdr:col>
                    <xdr:colOff>381000</xdr:colOff>
                    <xdr:row>16</xdr:row>
                    <xdr:rowOff>9525</xdr:rowOff>
                  </from>
                  <to>
                    <xdr:col>9</xdr:col>
                    <xdr:colOff>781050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6</xdr:col>
                    <xdr:colOff>381000</xdr:colOff>
                    <xdr:row>17</xdr:row>
                    <xdr:rowOff>9525</xdr:rowOff>
                  </from>
                  <to>
                    <xdr:col>9</xdr:col>
                    <xdr:colOff>781050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6</xdr:col>
                    <xdr:colOff>381000</xdr:colOff>
                    <xdr:row>18</xdr:row>
                    <xdr:rowOff>9525</xdr:rowOff>
                  </from>
                  <to>
                    <xdr:col>9</xdr:col>
                    <xdr:colOff>781050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11</xdr:col>
                    <xdr:colOff>361950</xdr:colOff>
                    <xdr:row>13</xdr:row>
                    <xdr:rowOff>9525</xdr:rowOff>
                  </from>
                  <to>
                    <xdr:col>13</xdr:col>
                    <xdr:colOff>104775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11</xdr:col>
                    <xdr:colOff>361950</xdr:colOff>
                    <xdr:row>14</xdr:row>
                    <xdr:rowOff>9525</xdr:rowOff>
                  </from>
                  <to>
                    <xdr:col>13</xdr:col>
                    <xdr:colOff>104775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11</xdr:col>
                    <xdr:colOff>361950</xdr:colOff>
                    <xdr:row>15</xdr:row>
                    <xdr:rowOff>9525</xdr:rowOff>
                  </from>
                  <to>
                    <xdr:col>13</xdr:col>
                    <xdr:colOff>104775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11</xdr:col>
                    <xdr:colOff>361950</xdr:colOff>
                    <xdr:row>16</xdr:row>
                    <xdr:rowOff>9525</xdr:rowOff>
                  </from>
                  <to>
                    <xdr:col>13</xdr:col>
                    <xdr:colOff>104775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7" name="Check Box 24">
              <controlPr defaultSize="0" autoFill="0" autoLine="0" autoPict="0">
                <anchor moveWithCells="1">
                  <from>
                    <xdr:col>14</xdr:col>
                    <xdr:colOff>352425</xdr:colOff>
                    <xdr:row>13</xdr:row>
                    <xdr:rowOff>9525</xdr:rowOff>
                  </from>
                  <to>
                    <xdr:col>17</xdr:col>
                    <xdr:colOff>76200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8" name="Check Box 28">
              <controlPr defaultSize="0" autoFill="0" autoLine="0" autoPict="0">
                <anchor moveWithCells="1">
                  <from>
                    <xdr:col>11</xdr:col>
                    <xdr:colOff>361950</xdr:colOff>
                    <xdr:row>17</xdr:row>
                    <xdr:rowOff>9525</xdr:rowOff>
                  </from>
                  <to>
                    <xdr:col>13</xdr:col>
                    <xdr:colOff>104775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9" name="Check Box 29">
              <controlPr defaultSize="0" autoFill="0" autoLine="0" autoPict="0">
                <anchor moveWithCells="1">
                  <from>
                    <xdr:col>11</xdr:col>
                    <xdr:colOff>361950</xdr:colOff>
                    <xdr:row>18</xdr:row>
                    <xdr:rowOff>9525</xdr:rowOff>
                  </from>
                  <to>
                    <xdr:col>13</xdr:col>
                    <xdr:colOff>104775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0" name="Check Box 32">
              <controlPr defaultSize="0" autoFill="0" autoLine="0" autoPict="0">
                <anchor moveWithCells="1">
                  <from>
                    <xdr:col>3</xdr:col>
                    <xdr:colOff>276225</xdr:colOff>
                    <xdr:row>16</xdr:row>
                    <xdr:rowOff>9525</xdr:rowOff>
                  </from>
                  <to>
                    <xdr:col>5</xdr:col>
                    <xdr:colOff>38100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1" name="Check Box 33">
              <controlPr defaultSize="0" autoFill="0" autoLine="0" autoPict="0">
                <anchor moveWithCells="1">
                  <from>
                    <xdr:col>9</xdr:col>
                    <xdr:colOff>142875</xdr:colOff>
                    <xdr:row>20</xdr:row>
                    <xdr:rowOff>38100</xdr:rowOff>
                  </from>
                  <to>
                    <xdr:col>10</xdr:col>
                    <xdr:colOff>742950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2" name="Check Box 34">
              <controlPr defaultSize="0" autoFill="0" autoLine="0" autoPict="0">
                <anchor moveWithCells="1">
                  <from>
                    <xdr:col>11</xdr:col>
                    <xdr:colOff>171450</xdr:colOff>
                    <xdr:row>20</xdr:row>
                    <xdr:rowOff>47625</xdr:rowOff>
                  </from>
                  <to>
                    <xdr:col>12</xdr:col>
                    <xdr:colOff>714375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3" name="Check Box 35">
              <controlPr defaultSize="0" autoFill="0" autoLine="0" autoPict="0">
                <anchor moveWithCells="1">
                  <from>
                    <xdr:col>3</xdr:col>
                    <xdr:colOff>276225</xdr:colOff>
                    <xdr:row>13</xdr:row>
                    <xdr:rowOff>9525</xdr:rowOff>
                  </from>
                  <to>
                    <xdr:col>5</xdr:col>
                    <xdr:colOff>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4" name="Check Box 36">
              <controlPr defaultSize="0" autoFill="0" autoLine="0" autoPict="0">
                <anchor moveWithCells="1">
                  <from>
                    <xdr:col>3</xdr:col>
                    <xdr:colOff>276225</xdr:colOff>
                    <xdr:row>14</xdr:row>
                    <xdr:rowOff>9525</xdr:rowOff>
                  </from>
                  <to>
                    <xdr:col>5</xdr:col>
                    <xdr:colOff>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5" name="Check Box 37">
              <controlPr defaultSize="0" autoFill="0" autoLine="0" autoPict="0">
                <anchor moveWithCells="1">
                  <from>
                    <xdr:col>5</xdr:col>
                    <xdr:colOff>323850</xdr:colOff>
                    <xdr:row>97</xdr:row>
                    <xdr:rowOff>0</xdr:rowOff>
                  </from>
                  <to>
                    <xdr:col>8</xdr:col>
                    <xdr:colOff>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6" name="Check Box 39">
              <controlPr defaultSize="0" autoFill="0" autoLine="0" autoPict="0">
                <anchor moveWithCells="1">
                  <from>
                    <xdr:col>14</xdr:col>
                    <xdr:colOff>352425</xdr:colOff>
                    <xdr:row>14</xdr:row>
                    <xdr:rowOff>19050</xdr:rowOff>
                  </from>
                  <to>
                    <xdr:col>17</xdr:col>
                    <xdr:colOff>76200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7" name="Check Box 41">
              <controlPr defaultSize="0" autoFill="0" autoLine="0" autoPict="0">
                <anchor moveWithCells="1">
                  <from>
                    <xdr:col>11</xdr:col>
                    <xdr:colOff>361950</xdr:colOff>
                    <xdr:row>16</xdr:row>
                    <xdr:rowOff>9525</xdr:rowOff>
                  </from>
                  <to>
                    <xdr:col>13</xdr:col>
                    <xdr:colOff>104775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8" name="Check Box 42">
              <controlPr defaultSize="0" autoFill="0" autoLine="0" autoPict="0">
                <anchor moveWithCells="1">
                  <from>
                    <xdr:col>11</xdr:col>
                    <xdr:colOff>361950</xdr:colOff>
                    <xdr:row>17</xdr:row>
                    <xdr:rowOff>9525</xdr:rowOff>
                  </from>
                  <to>
                    <xdr:col>13</xdr:col>
                    <xdr:colOff>104775</xdr:colOff>
                    <xdr:row>18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06A3425-0D4F-4491-BF37-D315D541FDD1}">
          <x14:formula1>
            <xm:f>Hoja2!$A$2:$A$4</xm:f>
          </x14:formula1>
          <xm:sqref>B28:G28 J28:O28</xm:sqref>
        </x14:dataValidation>
        <x14:dataValidation type="list" allowBlank="1" showInputMessage="1" showErrorMessage="1" xr:uid="{C4F71048-0396-441B-BAFC-4007D7E8B31B}">
          <x14:formula1>
            <xm:f>Hoja2!$C$2:$C$20</xm:f>
          </x14:formula1>
          <xm:sqref>B32:G32 J32:O32</xm:sqref>
        </x14:dataValidation>
        <x14:dataValidation type="list" allowBlank="1" showInputMessage="1" showErrorMessage="1" xr:uid="{101DD331-FFC4-4097-98B4-339CCE37570A}">
          <x14:formula1>
            <xm:f>Hoja2!$D$2:$D$20</xm:f>
          </x14:formula1>
          <xm:sqref>B34:G34 J34:O34</xm:sqref>
        </x14:dataValidation>
        <x14:dataValidation type="list" allowBlank="1" showInputMessage="1" showErrorMessage="1" xr:uid="{1CCD10F4-4F2F-485A-AC0D-C6FB041811E5}">
          <x14:formula1>
            <xm:f>Hoja2!$F$2:$F$12</xm:f>
          </x14:formula1>
          <xm:sqref>B40:G40 J40:O40</xm:sqref>
        </x14:dataValidation>
        <x14:dataValidation type="custom" allowBlank="1" showInputMessage="1" showErrorMessage="1" xr:uid="{D6E7B1C1-FDA6-4E3D-98C6-330BBA31CFE5}">
          <x14:formula1>
            <xm:f>+VLOOKUP(B38,Hoja2!$E$1:$G$14,3,0)</xm:f>
          </x14:formula1>
          <xm:sqref>B42:G42 J42:O42</xm:sqref>
        </x14:dataValidation>
        <x14:dataValidation type="list" allowBlank="1" showInputMessage="1" showErrorMessage="1" xr:uid="{FFC97AE1-A7F5-4DA9-837F-B55C10C8E28B}">
          <x14:formula1>
            <xm:f>Hoja2!$E$2:$E$14</xm:f>
          </x14:formula1>
          <xm:sqref>B38:G38 J38:O38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F79-E8BB-4042-98C7-90DEA9B11A5E}">
  <sheetPr codeName="Hoja2"/>
  <dimension ref="A1:G20"/>
  <sheetViews>
    <sheetView workbookViewId="0">
      <selection activeCell="G15" sqref="G15"/>
    </sheetView>
  </sheetViews>
  <sheetFormatPr baseColWidth="10" defaultRowHeight="15" x14ac:dyDescent="0.25"/>
  <cols>
    <col min="1" max="1" width="28.85546875" bestFit="1" customWidth="1"/>
    <col min="2" max="2" width="21.42578125" bestFit="1" customWidth="1"/>
    <col min="3" max="3" width="29.140625" bestFit="1" customWidth="1"/>
    <col min="4" max="4" width="23.28515625" bestFit="1" customWidth="1"/>
    <col min="5" max="5" width="42.7109375" bestFit="1" customWidth="1"/>
    <col min="6" max="6" width="10.42578125" bestFit="1" customWidth="1"/>
    <col min="7" max="7" width="30.7109375" bestFit="1" customWidth="1"/>
  </cols>
  <sheetData>
    <row r="1" spans="1:7" ht="15.75" x14ac:dyDescent="0.25">
      <c r="A1" s="63" t="s">
        <v>72</v>
      </c>
      <c r="B1" s="62" t="s">
        <v>77</v>
      </c>
      <c r="C1" s="62" t="s">
        <v>79</v>
      </c>
      <c r="D1" s="62" t="s">
        <v>75</v>
      </c>
      <c r="E1" s="62" t="s">
        <v>81</v>
      </c>
      <c r="F1" s="62" t="s">
        <v>34</v>
      </c>
      <c r="G1" s="62" t="s">
        <v>83</v>
      </c>
    </row>
    <row r="2" spans="1:7" x14ac:dyDescent="0.25">
      <c r="A2" t="s">
        <v>85</v>
      </c>
      <c r="B2" t="s">
        <v>78</v>
      </c>
      <c r="C2" t="s">
        <v>78</v>
      </c>
      <c r="D2" t="s">
        <v>105</v>
      </c>
      <c r="E2" t="s">
        <v>121</v>
      </c>
      <c r="F2" s="1">
        <v>3</v>
      </c>
      <c r="G2" s="64">
        <v>585</v>
      </c>
    </row>
    <row r="3" spans="1:7" x14ac:dyDescent="0.25">
      <c r="A3" t="s">
        <v>76</v>
      </c>
      <c r="C3" t="s">
        <v>87</v>
      </c>
      <c r="D3" t="s">
        <v>106</v>
      </c>
      <c r="E3" t="s">
        <v>122</v>
      </c>
      <c r="F3" s="1">
        <v>4</v>
      </c>
      <c r="G3" s="64">
        <v>622</v>
      </c>
    </row>
    <row r="4" spans="1:7" x14ac:dyDescent="0.25">
      <c r="A4" t="s">
        <v>86</v>
      </c>
      <c r="C4" t="s">
        <v>88</v>
      </c>
      <c r="D4" t="s">
        <v>107</v>
      </c>
      <c r="E4" t="s">
        <v>123</v>
      </c>
      <c r="F4" s="1">
        <v>5</v>
      </c>
      <c r="G4" s="64">
        <v>675</v>
      </c>
    </row>
    <row r="5" spans="1:7" x14ac:dyDescent="0.25">
      <c r="C5" t="s">
        <v>89</v>
      </c>
      <c r="D5" t="s">
        <v>108</v>
      </c>
      <c r="E5" t="s">
        <v>124</v>
      </c>
      <c r="F5" s="1">
        <v>6</v>
      </c>
      <c r="G5" s="64">
        <v>733</v>
      </c>
    </row>
    <row r="6" spans="1:7" x14ac:dyDescent="0.25">
      <c r="C6" t="s">
        <v>90</v>
      </c>
      <c r="D6" t="s">
        <v>109</v>
      </c>
      <c r="E6" t="s">
        <v>125</v>
      </c>
      <c r="F6" s="1">
        <v>7</v>
      </c>
      <c r="G6" s="64">
        <v>817</v>
      </c>
    </row>
    <row r="7" spans="1:7" x14ac:dyDescent="0.25">
      <c r="C7" t="s">
        <v>91</v>
      </c>
      <c r="D7" t="s">
        <v>110</v>
      </c>
      <c r="E7" t="s">
        <v>126</v>
      </c>
      <c r="F7" s="1">
        <v>8</v>
      </c>
      <c r="G7" s="64">
        <v>9001</v>
      </c>
    </row>
    <row r="8" spans="1:7" x14ac:dyDescent="0.25">
      <c r="C8" t="s">
        <v>92</v>
      </c>
      <c r="D8" t="s">
        <v>111</v>
      </c>
      <c r="E8" t="s">
        <v>127</v>
      </c>
      <c r="F8" s="1">
        <v>9</v>
      </c>
      <c r="G8" s="64">
        <v>986</v>
      </c>
    </row>
    <row r="9" spans="1:7" x14ac:dyDescent="0.25">
      <c r="C9" t="s">
        <v>93</v>
      </c>
      <c r="D9" t="s">
        <v>112</v>
      </c>
      <c r="E9" t="s">
        <v>128</v>
      </c>
      <c r="F9" s="1">
        <v>10</v>
      </c>
      <c r="G9" s="64">
        <v>1086</v>
      </c>
    </row>
    <row r="10" spans="1:7" x14ac:dyDescent="0.25">
      <c r="C10" t="s">
        <v>94</v>
      </c>
      <c r="D10" t="s">
        <v>113</v>
      </c>
      <c r="E10" t="s">
        <v>82</v>
      </c>
      <c r="F10" s="1">
        <v>11</v>
      </c>
      <c r="G10" s="64">
        <v>1212</v>
      </c>
    </row>
    <row r="11" spans="1:7" x14ac:dyDescent="0.25">
      <c r="C11" t="s">
        <v>95</v>
      </c>
      <c r="D11" t="s">
        <v>114</v>
      </c>
      <c r="E11" t="s">
        <v>129</v>
      </c>
      <c r="F11" s="1">
        <v>12</v>
      </c>
      <c r="G11" s="64">
        <v>1412</v>
      </c>
    </row>
    <row r="12" spans="1:7" x14ac:dyDescent="0.25">
      <c r="C12" t="s">
        <v>96</v>
      </c>
      <c r="D12" t="s">
        <v>115</v>
      </c>
      <c r="E12" t="s">
        <v>130</v>
      </c>
      <c r="F12" s="1">
        <v>13</v>
      </c>
      <c r="G12" s="64">
        <v>1676</v>
      </c>
    </row>
    <row r="13" spans="1:7" x14ac:dyDescent="0.25">
      <c r="C13" t="s">
        <v>97</v>
      </c>
      <c r="D13" t="s">
        <v>116</v>
      </c>
      <c r="E13" s="68" t="s">
        <v>134</v>
      </c>
      <c r="F13" t="s">
        <v>136</v>
      </c>
      <c r="G13" s="64">
        <v>2368</v>
      </c>
    </row>
    <row r="14" spans="1:7" x14ac:dyDescent="0.25">
      <c r="C14" t="s">
        <v>98</v>
      </c>
      <c r="D14" t="s">
        <v>117</v>
      </c>
      <c r="E14" s="68" t="s">
        <v>135</v>
      </c>
      <c r="F14" t="s">
        <v>137</v>
      </c>
      <c r="G14" s="64">
        <v>2418</v>
      </c>
    </row>
    <row r="15" spans="1:7" x14ac:dyDescent="0.25">
      <c r="C15" t="s">
        <v>99</v>
      </c>
      <c r="D15" t="s">
        <v>118</v>
      </c>
    </row>
    <row r="16" spans="1:7" x14ac:dyDescent="0.25">
      <c r="C16" t="s">
        <v>100</v>
      </c>
      <c r="D16" t="s">
        <v>119</v>
      </c>
    </row>
    <row r="17" spans="3:4" x14ac:dyDescent="0.25">
      <c r="C17" t="s">
        <v>101</v>
      </c>
      <c r="D17" t="s">
        <v>120</v>
      </c>
    </row>
    <row r="18" spans="3:4" x14ac:dyDescent="0.25">
      <c r="C18" t="s">
        <v>102</v>
      </c>
    </row>
    <row r="19" spans="3:4" x14ac:dyDescent="0.25">
      <c r="C19" t="s">
        <v>103</v>
      </c>
    </row>
    <row r="20" spans="3:4" x14ac:dyDescent="0.25">
      <c r="C20" t="s">
        <v>104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</vt:lpstr>
      <vt:lpstr>Hoja2</vt:lpstr>
      <vt:lpstr>ap!Área_de_impresión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tecnologia pasantes</cp:lastModifiedBy>
  <cp:lastPrinted>2024-12-11T16:19:42Z</cp:lastPrinted>
  <dcterms:created xsi:type="dcterms:W3CDTF">2014-06-13T20:34:34Z</dcterms:created>
  <dcterms:modified xsi:type="dcterms:W3CDTF">2026-07-14T17:25:33Z</dcterms:modified>
</cp:coreProperties>
</file>