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8_{4DA9E6E9-7144-4774-9A20-4995279BCA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CION" sheetId="3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0" i="3" l="1"/>
  <c r="V60" i="3"/>
  <c r="N61" i="3"/>
  <c r="T79" i="3" l="1"/>
  <c r="E107" i="3" l="1"/>
  <c r="E119" i="3" s="1"/>
  <c r="T107" i="3" l="1"/>
  <c r="E11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Silvana Romero Quintero</author>
  </authors>
  <commentList>
    <comment ref="N15" authorId="0" shapeId="0" xr:uid="{00000000-0006-0000-0000-000001000000}">
      <text>
        <r>
          <rPr>
            <b/>
            <sz val="8.5"/>
            <color indexed="81"/>
            <rFont val="Tahoma"/>
            <family val="2"/>
          </rPr>
          <t>HASTA:</t>
        </r>
        <r>
          <rPr>
            <sz val="8.5"/>
            <color indexed="81"/>
            <rFont val="Tahoma"/>
            <family val="2"/>
          </rPr>
          <t xml:space="preserve"> Para movimientos de salidas y concluye actos administrativos         </t>
        </r>
        <r>
          <rPr>
            <b/>
            <sz val="8.5"/>
            <color indexed="81"/>
            <rFont val="Tahoma"/>
            <family val="2"/>
          </rPr>
          <t>RIGE:</t>
        </r>
        <r>
          <rPr>
            <sz val="8.5"/>
            <color indexed="81"/>
            <rFont val="Tahoma"/>
            <family val="2"/>
          </rPr>
          <t xml:space="preserve"> Ingresos e inicio de actos administrativos</t>
        </r>
      </text>
    </comment>
    <comment ref="B4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INGRESAR:
GRUPO OCUPACIONAL PARA 20 GRADOS
GRADO PARA NJS</t>
        </r>
      </text>
    </comment>
    <comment ref="N4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INGRESAR:
GRUPO OCUPACIONAL PARA 20 GRADOS
GRADO PARA NJS</t>
        </r>
      </text>
    </comment>
    <comment ref="R4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ESCOGER EL GRUPO OCUPACIONAL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ESCOGER PROVINCIA Y CIUDAD</t>
        </r>
      </text>
    </comment>
    <comment ref="AE4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ESCOGER PROVINCIA Y CIUDAD</t>
        </r>
      </text>
    </comment>
    <comment ref="G4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CELDA CON FÓRMULA - NO MODIFICAR ¡</t>
        </r>
      </text>
    </comment>
    <comment ref="R4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CELDA CON FÓRMULA - NO MODIFICAR ¡</t>
        </r>
      </text>
    </comment>
    <comment ref="V6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CELDA CON FÓRMULA NO MODIFICAR
</t>
        </r>
      </text>
    </comment>
    <comment ref="N6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CELDA CON FÓRMULA NO MODIFICAR</t>
        </r>
      </text>
    </comment>
    <comment ref="E10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CELDA CON FÓRMULA NO MODIFICAR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0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CELDA CON FÓRMULA NO MODIFICAR
</t>
        </r>
      </text>
    </comment>
    <comment ref="E11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CELDA CON FÓRMULA NO MODIFICAR
</t>
        </r>
      </text>
    </comment>
    <comment ref="E11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CELDA CON FÓRMULA NO MODIFICAR
</t>
        </r>
      </text>
    </comment>
    <comment ref="E1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CELDA CON FÓRMULA NO MODIFICAR
</t>
        </r>
      </text>
    </comment>
    <comment ref="O1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CELDA CON FÓRMULA NO MODIFICAR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2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CELDA CON FÓRMULA NO MODIFICAR
</t>
        </r>
      </text>
    </comment>
  </commentList>
</comments>
</file>

<file path=xl/sharedStrings.xml><?xml version="1.0" encoding="utf-8"?>
<sst xmlns="http://schemas.openxmlformats.org/spreadsheetml/2006/main" count="170" uniqueCount="138">
  <si>
    <t xml:space="preserve">No. </t>
  </si>
  <si>
    <t>Fecha:</t>
  </si>
  <si>
    <t>DECRETO</t>
  </si>
  <si>
    <t>FECHA:</t>
  </si>
  <si>
    <t>NO.</t>
  </si>
  <si>
    <t>APELLIDOS</t>
  </si>
  <si>
    <t>NOMBRES</t>
  </si>
  <si>
    <t>No. de Cédula de Ciudadanía</t>
  </si>
  <si>
    <t>INGRESO</t>
  </si>
  <si>
    <t>NOMBRAMIENTO</t>
  </si>
  <si>
    <t>ASCENSO</t>
  </si>
  <si>
    <t>ENCARGO</t>
  </si>
  <si>
    <t>VACACIONES</t>
  </si>
  <si>
    <t>TRASLADO</t>
  </si>
  <si>
    <t>TRASPASO</t>
  </si>
  <si>
    <t>CAMBIO ADMINISTRATIVO</t>
  </si>
  <si>
    <t>INTERCAMBIO</t>
  </si>
  <si>
    <t>LICENCIA</t>
  </si>
  <si>
    <t>REINTEGRO</t>
  </si>
  <si>
    <t>RENUNCIA</t>
  </si>
  <si>
    <t>OTRO</t>
  </si>
  <si>
    <t xml:space="preserve">ACUERDO             </t>
  </si>
  <si>
    <t>PROCESO:</t>
  </si>
  <si>
    <t>LUGAR DE TRABAJO:</t>
  </si>
  <si>
    <t>REMUNERACIÓN MENSUAL:</t>
  </si>
  <si>
    <t>PARTIDA PRESUPUESTARIA:</t>
  </si>
  <si>
    <t>ACTA FINAL DEL CONCURSO</t>
  </si>
  <si>
    <t>f.</t>
  </si>
  <si>
    <t xml:space="preserve"> f.                                                                          </t>
  </si>
  <si>
    <t xml:space="preserve">LA PERSONA REEMPLAZA A: </t>
  </si>
  <si>
    <t>EN EL PUESTO DE:</t>
  </si>
  <si>
    <t>QUIEN CESO EN FUNCIONES POR:</t>
  </si>
  <si>
    <t>JURO LEALTAD AL ESTADO ECUATORIANO.</t>
  </si>
  <si>
    <t>LUGAR:</t>
  </si>
  <si>
    <t xml:space="preserve">EXPLICACIÓN: </t>
  </si>
  <si>
    <t xml:space="preserve"> </t>
  </si>
  <si>
    <t xml:space="preserve">SUBPROCESO: </t>
  </si>
  <si>
    <t>TIPO DE MOVIMIENTO:</t>
  </si>
  <si>
    <t xml:space="preserve">YO, </t>
  </si>
  <si>
    <t xml:space="preserve">NOTIFICACIÓN </t>
  </si>
  <si>
    <t>FECHA</t>
  </si>
  <si>
    <t xml:space="preserve">RESPONSABLE DEL REGISTRO </t>
  </si>
  <si>
    <t xml:space="preserve">ELABORADO POR: </t>
  </si>
  <si>
    <r>
      <rPr>
        <b/>
        <sz val="8.5"/>
        <color theme="1"/>
        <rFont val="Cambria"/>
        <family val="1"/>
        <scheme val="major"/>
      </rPr>
      <t xml:space="preserve">DIRECCIÓN DE ADMINISTRACIÓN DEL TALENTO HUMANO </t>
    </r>
    <r>
      <rPr>
        <b/>
        <sz val="8"/>
        <color theme="1"/>
        <rFont val="Cambria"/>
        <family val="1"/>
        <scheme val="major"/>
      </rPr>
      <t xml:space="preserve">
REGISTRO Y CONTROL</t>
    </r>
  </si>
  <si>
    <t>RIGE</t>
  </si>
  <si>
    <t xml:space="preserve">Resuelve: </t>
  </si>
  <si>
    <t>Base Legal Aplicable:</t>
  </si>
  <si>
    <t>BASE LEGAL</t>
  </si>
  <si>
    <t>TIPO DE MOVIMIENTO/OTRO</t>
  </si>
  <si>
    <t>COMISIÓN DE SERVICIOS SIN REMUNERACIÓN</t>
  </si>
  <si>
    <t>COMISIÓN DE SERVICIÓN CON REMUNERACIÓN</t>
  </si>
  <si>
    <t>REMOCIÓN - NJS</t>
  </si>
  <si>
    <t>SUBROGACIÓN</t>
  </si>
  <si>
    <t>PROVISIONAL DE LIBRE NOMBRAMIENTO Y REMOCIÓN</t>
  </si>
  <si>
    <t>SUPRESIÓN</t>
  </si>
  <si>
    <t>DESIGNACIÓN DE ROL</t>
  </si>
  <si>
    <t>TRASPASO A OTRA INSTITUCIÓN</t>
  </si>
  <si>
    <t>LICENCIA SIN REMUNERACIÓN POR ASUNTOS PARTICULARES</t>
  </si>
  <si>
    <t>LICENCIA SIN REMUNERACIÓN POR ESTUDIOS REGULARES DE POSGRADO</t>
  </si>
  <si>
    <t>Referencia:</t>
  </si>
  <si>
    <t>Servidor (a) / Funcionario (a)</t>
  </si>
  <si>
    <t>SERVIDOR PÚBLICO 5</t>
  </si>
  <si>
    <t>Servidor(a) / Funcionario (a)</t>
  </si>
  <si>
    <t>Nro.- DE REGISTRO:</t>
  </si>
  <si>
    <t>GRUPO OCUPACIONAL :</t>
  </si>
  <si>
    <t xml:space="preserve">Directora de Administración de Talento Humano </t>
  </si>
  <si>
    <t>No:</t>
  </si>
  <si>
    <t>LIBRE NOMBRAMIENTO Y REMOCIÓN</t>
  </si>
  <si>
    <t>Artículo 85 de la Ley Orgánica del Servicio Público LOSEP, en concordancia con el Artículo 17 literal c)  del Reglamento General a la Ley Ibídem</t>
  </si>
  <si>
    <t>Artículo 17 letra b.3) de la Ley Orgánica del Servicio Público, en concordancia con el Artículo 18 literal a) del Reglamento General a la Ley Ibídem</t>
  </si>
  <si>
    <t>Artículo 17 literal b) de la Ley Orgánica del Servicio Público LOSEP, en concordancia al Artículo 18 literal f) del Reglamento General a la Ley Ibídem</t>
  </si>
  <si>
    <t>Artículo 17 letra b.1) de la Ley Orgánica del Servicio Público, en concordancia con el Artículo 17 literal b) del Reglamento General a la Ley Ibídem</t>
  </si>
  <si>
    <t>Artículo 17 letra b.4) de la Ley Orgánica del Servicio Público, en concordancia con el Artículo 18 literal b) del Reglamento General a la Ley Ibídem</t>
  </si>
  <si>
    <t>Artículo 31  de la  Ley Orgánica del Servicio Público LOSEP y a los Artículos 51 y 53 del Reglamento General a la Ley Ibídem</t>
  </si>
  <si>
    <t>Artículo 32  de la  Ley Orgánica del Servicio Público LOSEP y al Artículo 55 del Reglamento General a la Ley Ibídem</t>
  </si>
  <si>
    <t>Artículo 30  de la  Ley Orgánica del Servicio Público LOSEP y a los Artículos 45 y 46 del Reglamento General a la Ley Ibídem</t>
  </si>
  <si>
    <t>Artículo 47 letra e) de la Ley Orgánica del Servicio Público LOSEP en concordancia con el Artículo 105 numeral 1 del Reglamento General a la Ley Ibídem</t>
  </si>
  <si>
    <t>Artículo 47 letra e) de la Ley Orgánica del Servicio Público LOSEP en concordancia con el Artículo 105 numeral 2 del Reglamento General a la Ley Ibídem</t>
  </si>
  <si>
    <t>Artículo 47 letra a) de la Ley Orgánica del Servicio Público LOSEP en concordancia con el Artículo 102 del Reglamento General a la Ley Ibídem</t>
  </si>
  <si>
    <t>Artículo 126 de la Ley Orgánica de Servicio  Público LOSEP, en concordancia con el  Artículo 270 del Reglamento General a la Ley Ibídem</t>
  </si>
  <si>
    <t xml:space="preserve"> Artículo 127 de la Ley Orgánica de Servicio  Público - LOSEP  en concordancia con el Artículo 271 del Reglamento General a la Ley Ibídem</t>
  </si>
  <si>
    <t>Artículo 38 de la Ley Orgánica de Servicio  Público  LOSEP, en concordancia con el Artículo 71 del Reglamento General a la Ley Ibídem</t>
  </si>
  <si>
    <t>Artículo 37 de la Ley Orgánica de Servicio Público LOSEP, en concordancia al Artículo 69 del Reglamento General a la Ley Ibídem</t>
  </si>
  <si>
    <t>Artículo 37 de la Ley Orgánica de Servicio Público LOSEP, en concordancia a los Artículos 69 y 70 del Reglamento General a la Ley Ibídem</t>
  </si>
  <si>
    <t>Artículos 35 y 36 de la Ley Orgánica de Servicio Público LOSEP, en concordancia al Artículo 68 del Reglamento General a la Ley Ibídem</t>
  </si>
  <si>
    <t>Articulo 47 literal c) de la Ley Orgánica de Servicio Público LOSEP, en concordancia a los Artículos Nos.- 104, 155, 156, 157, 158,159 y 160 del Reglamento General a la Ley Ibídem</t>
  </si>
  <si>
    <t>Artículo 28 literal a) de la Ley Orgánica de Servicio Público LOSEP, en concordancia con el Artículo 40 del Reglamento General a la Ley Ibídem</t>
  </si>
  <si>
    <t>Artículo 28 literal b) de la Ley Orgánica de Servicio Público LOSEP, en concordancia con el Artículo 41 del Reglamento General a la Ley Ibídem</t>
  </si>
  <si>
    <t>NOMBRAMIENTO PROVISIONAL  /TOP</t>
  </si>
  <si>
    <t>NOMBRAMIENTO PROVISIONAL /L</t>
  </si>
  <si>
    <t>NOMBRAMIENTO PROVISIONAL / TCSSR</t>
  </si>
  <si>
    <t>NOMBRAMIENTO PROVISIONAL / CMyP</t>
  </si>
  <si>
    <t>FINALIZACIÓN DE COMISIÓN DE SERVICIOS SIN REMUNERACIÓN</t>
  </si>
  <si>
    <t>FINALIZACIÓN DE COMISIÓN DE SERVICIÓN CON REMUNERACIÓN</t>
  </si>
  <si>
    <t>REMOCIÓN DEL NOMBRAMIENTO PROVISIONAL</t>
  </si>
  <si>
    <t>FINALIZACIÓN DE CAMBIO ADMINISTRATIVO</t>
  </si>
  <si>
    <t>PUESTO INSTITUCIONAL:</t>
  </si>
  <si>
    <r>
      <rPr>
        <b/>
        <sz val="7"/>
        <color theme="1"/>
        <rFont val="Cambria"/>
        <family val="1"/>
        <scheme val="major"/>
      </rPr>
      <t>Razón:</t>
    </r>
    <r>
      <rPr>
        <sz val="7"/>
        <color theme="1"/>
        <rFont val="Cambria"/>
        <family val="1"/>
        <scheme val="major"/>
      </rPr>
      <t xml:space="preserve"> Me permito indicar que he recibido en persona un ejemplar de la presente Acción de Personal y para constancia firmo la notificación y aceptación:</t>
    </r>
  </si>
  <si>
    <t>-RAP</t>
  </si>
  <si>
    <t>CAUCIÓN REGISTRADA CON No.</t>
  </si>
  <si>
    <t>ACCIÓN DE PERSONAL REGISTRADA CON No.</t>
  </si>
  <si>
    <t>AFILIACIÓN AL COLEGIO DE PROFESIONALES DE</t>
  </si>
  <si>
    <t>POSESIÓN DEL CARGO:</t>
  </si>
  <si>
    <t>CON CEDULA DE CIUDADANÍA No.</t>
  </si>
  <si>
    <t>ACCIÓN DE PERSONAL</t>
  </si>
  <si>
    <t>RESOLUCIÓN</t>
  </si>
  <si>
    <t>REVALORIZACIÓN</t>
  </si>
  <si>
    <t>RECLASIFICACIÓN</t>
  </si>
  <si>
    <t>DESTITUCIÓN</t>
  </si>
  <si>
    <t>UBICACIÓN</t>
  </si>
  <si>
    <t>REMOCIÓN</t>
  </si>
  <si>
    <t>JUBILACIÓN</t>
  </si>
  <si>
    <t>COMISIÓN DE SERVICIOS</t>
  </si>
  <si>
    <t>RESTITUCIÓN</t>
  </si>
  <si>
    <t>SITUACIÓN ACTUAL</t>
  </si>
  <si>
    <t>SITUACIÓN PROPUESTA</t>
  </si>
  <si>
    <t>Artículos 17 literal b) de la Ley Orgánica de Servicio Público LOSEP,  en concordancia al Art. 18 literal c) del Reglamento General a la Ley Ibídem</t>
  </si>
  <si>
    <t xml:space="preserve">MTOP-DATH-GIATH-AP-2023-161 </t>
  </si>
  <si>
    <t xml:space="preserve"> DEJ-2023-010</t>
  </si>
  <si>
    <t>PALIZ ACOSTA</t>
  </si>
  <si>
    <t>CRISTIAN OMAR</t>
  </si>
  <si>
    <t>Autorización de la Máxima Autoridad del INAMHI, según consta en comentario de hoja de ruta del Memorando Nro. NAMHI-DRH-2023-0248-M, de 07 de agosto de 2023 el cual contiene el Informe de pertinencia, elaborado por la Dirección de Administración de Recursos Humanos.</t>
  </si>
  <si>
    <t>DIRECCIÓN EJECUTIVA</t>
  </si>
  <si>
    <t>DIRECCIÓN DE PRONÓSTICOS Y ALERTAS HIDROMETEOROLÓGICOS</t>
  </si>
  <si>
    <t>ESPECIALISTA EN PRONÓSTICOS Y ALERTAS HIDROMETEOROLÓGICAS 2</t>
  </si>
  <si>
    <t>QUITO</t>
  </si>
  <si>
    <r>
      <t>202342200000000010000000100051170000100000000-</t>
    </r>
    <r>
      <rPr>
        <b/>
        <sz val="8"/>
        <color theme="1"/>
        <rFont val="Cambria"/>
        <family val="1"/>
        <scheme val="major"/>
      </rPr>
      <t>585</t>
    </r>
  </si>
  <si>
    <t>AP-RH-170-2023</t>
  </si>
  <si>
    <t>INSTITUTO NACIONAL DE METEOROLOGÍA E HIDROLOGÍA INAMHI</t>
  </si>
  <si>
    <t>DIRECCIÓN  DE ADMINISTRACIÓN DE RECURSOS HUMANOS</t>
  </si>
  <si>
    <t>Mgs. Mercy Ivonne Freire Sanchez</t>
  </si>
  <si>
    <t>Miguel Angel Paredes A.</t>
  </si>
  <si>
    <t>Ing. Miguel Angel Paredes</t>
  </si>
  <si>
    <t>Artículo 28 literal b) de la Ley Orgánica de Servicio Público LOSEP, en concordancia con el Artículo 40 del Reglamento General a la Ley Ibídem</t>
  </si>
  <si>
    <r>
      <t>Autoriza la Licencia Sin Remuneración para estudios regulares de posgrado</t>
    </r>
    <r>
      <rPr>
        <b/>
        <sz val="8.5"/>
        <color theme="1"/>
        <rFont val="Cambria"/>
        <family val="1"/>
        <scheme val="major"/>
      </rPr>
      <t xml:space="preserve"> al servidor Cristian Omar Paliz Acosta,</t>
    </r>
    <r>
      <rPr>
        <b/>
        <sz val="8.5"/>
        <color theme="1"/>
        <rFont val="Cambria"/>
        <family val="1"/>
        <scheme val="major"/>
      </rPr>
      <t xml:space="preserve"> Especialista en Pronósticos y Alertas Hidrometeorológicas 2 - Servidor Público 5, </t>
    </r>
    <r>
      <rPr>
        <sz val="8.5"/>
        <color theme="1"/>
        <rFont val="Cambria"/>
        <family val="1"/>
        <scheme val="major"/>
      </rPr>
      <t>de la</t>
    </r>
    <r>
      <rPr>
        <b/>
        <sz val="8.5"/>
        <color theme="1"/>
        <rFont val="Cambria"/>
        <family val="1"/>
        <scheme val="major"/>
      </rPr>
      <t xml:space="preserve"> Dirección de Pronósticos y Alertas Hidrometeorológicos, </t>
    </r>
    <r>
      <rPr>
        <sz val="8.5"/>
        <color theme="1"/>
        <rFont val="Cambria"/>
        <family val="1"/>
        <scheme val="major"/>
      </rPr>
      <t>por el período comprendido</t>
    </r>
    <r>
      <rPr>
        <b/>
        <sz val="8.5"/>
        <color theme="1"/>
        <rFont val="Cambria"/>
        <family val="1"/>
        <scheme val="major"/>
      </rPr>
      <t xml:space="preserve"> del 01 de septiembre de 2023 hasta el 31 de julio de 2024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8.5"/>
        <color theme="1"/>
        <rFont val="Cambria"/>
        <family val="1"/>
        <scheme val="major"/>
      </rPr>
      <t/>
    </r>
  </si>
  <si>
    <t xml:space="preserve">La Mgs. Mercy Ivonne Freire Sanchez,  Directora de Administración de Talento Humano , en uso de la delegación conferida, mediante Resolución Nro.  DEJ-2023-010, de 19 de abril de 2023, conforme al art. 3, literales a) y c) </t>
  </si>
  <si>
    <t>Delegada del Director Ejecutivo del INAMHI</t>
  </si>
  <si>
    <t xml:space="preserve">Dirección de Administración de Recursos Humanos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</si>
</sst>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"/>
    <numFmt numFmtId="165" formatCode="0000000000"/>
    <numFmt numFmtId="166" formatCode="&quot;$&quot;#,##0.00"/>
    <numFmt numFmtId="167" formatCode="[$-300A]d&quot; de &quot;mmmm&quot; de &quot;yyyy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7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7"/>
      <color theme="1"/>
      <name val="Cambria"/>
      <family val="1"/>
      <scheme val="major"/>
    </font>
    <font>
      <sz val="8.5"/>
      <color theme="1"/>
      <name val="Cambria"/>
      <family val="1"/>
      <scheme val="major"/>
    </font>
    <font>
      <b/>
      <sz val="8.5"/>
      <color theme="1"/>
      <name val="Cambria"/>
      <family val="1"/>
      <scheme val="major"/>
    </font>
    <font>
      <sz val="8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.5"/>
      <color indexed="81"/>
      <name val="Tahoma"/>
      <family val="2"/>
    </font>
    <font>
      <sz val="8.5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6"/>
      <color theme="1"/>
      <name val="Cambria"/>
      <family val="1"/>
      <scheme val="major"/>
    </font>
    <font>
      <sz val="6.5"/>
      <name val="Cambria"/>
      <family val="1"/>
      <scheme val="major"/>
    </font>
    <font>
      <sz val="8.5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8"/>
      <name val="Cambria"/>
      <family val="1"/>
      <scheme val="major"/>
    </font>
    <font>
      <sz val="11"/>
      <color rgb="FFFF0000"/>
      <name val="Cambria"/>
      <family val="1"/>
      <scheme val="major"/>
    </font>
    <font>
      <b/>
      <i/>
      <sz val="8.5"/>
      <color theme="1"/>
      <name val="Cambria"/>
      <family val="1"/>
      <scheme val="major"/>
    </font>
    <font>
      <sz val="8"/>
      <color theme="2"/>
      <name val="Cambria"/>
      <family val="1"/>
      <scheme val="major"/>
    </font>
    <font>
      <sz val="11"/>
      <name val="Cambria"/>
      <family val="1"/>
      <scheme val="major"/>
    </font>
    <font>
      <b/>
      <sz val="1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0" borderId="19" xfId="0" applyFont="1" applyBorder="1"/>
    <xf numFmtId="0" fontId="1" fillId="0" borderId="16" xfId="0" applyFont="1" applyBorder="1"/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right"/>
    </xf>
    <xf numFmtId="0" fontId="1" fillId="0" borderId="15" xfId="0" applyFont="1" applyBorder="1"/>
    <xf numFmtId="0" fontId="1" fillId="0" borderId="26" xfId="0" applyFont="1" applyBorder="1"/>
    <xf numFmtId="0" fontId="1" fillId="0" borderId="28" xfId="0" applyFont="1" applyBorder="1"/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9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1" fillId="2" borderId="16" xfId="0" applyFont="1" applyFill="1" applyBorder="1"/>
    <xf numFmtId="0" fontId="1" fillId="2" borderId="0" xfId="0" applyFont="1" applyFill="1"/>
    <xf numFmtId="0" fontId="1" fillId="2" borderId="19" xfId="0" applyFont="1" applyFill="1" applyBorder="1"/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18" xfId="0" applyFont="1" applyFill="1" applyBorder="1"/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22" xfId="0" applyFont="1" applyFill="1" applyBorder="1"/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right" vertical="top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9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1" fillId="3" borderId="9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4" fillId="2" borderId="0" xfId="0" applyFont="1" applyFill="1"/>
    <xf numFmtId="0" fontId="4" fillId="2" borderId="4" xfId="0" applyFont="1" applyFill="1" applyBorder="1"/>
    <xf numFmtId="0" fontId="9" fillId="2" borderId="0" xfId="0" applyFont="1" applyFill="1"/>
    <xf numFmtId="0" fontId="1" fillId="2" borderId="24" xfId="0" applyFont="1" applyFill="1" applyBorder="1"/>
    <xf numFmtId="0" fontId="1" fillId="2" borderId="13" xfId="0" applyFont="1" applyFill="1" applyBorder="1"/>
    <xf numFmtId="0" fontId="1" fillId="2" borderId="27" xfId="0" applyFont="1" applyFill="1" applyBorder="1" applyAlignment="1">
      <alignment vertical="center"/>
    </xf>
    <xf numFmtId="0" fontId="10" fillId="2" borderId="16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/>
    </xf>
    <xf numFmtId="0" fontId="2" fillId="0" borderId="0" xfId="0" applyFont="1"/>
    <xf numFmtId="49" fontId="15" fillId="0" borderId="19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2" borderId="11" xfId="0" applyFont="1" applyFill="1" applyBorder="1"/>
    <xf numFmtId="0" fontId="2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0" fontId="28" fillId="0" borderId="0" xfId="0" applyFont="1"/>
    <xf numFmtId="0" fontId="30" fillId="0" borderId="0" xfId="0" quotePrefix="1" applyFont="1" applyAlignment="1">
      <alignment horizontal="center" vertical="center"/>
    </xf>
    <xf numFmtId="0" fontId="31" fillId="0" borderId="0" xfId="0" applyFont="1"/>
    <xf numFmtId="0" fontId="31" fillId="0" borderId="19" xfId="0" applyFont="1" applyBorder="1"/>
    <xf numFmtId="0" fontId="1" fillId="2" borderId="14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12" fillId="2" borderId="19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4" borderId="26" xfId="0" applyFont="1" applyFill="1" applyBorder="1" applyAlignment="1">
      <alignment horizontal="left" vertical="center"/>
    </xf>
    <xf numFmtId="0" fontId="6" fillId="4" borderId="27" xfId="0" applyFont="1" applyFill="1" applyBorder="1" applyAlignment="1">
      <alignment horizontal="left" vertical="center"/>
    </xf>
    <xf numFmtId="0" fontId="25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2" fillId="4" borderId="19" xfId="0" applyFont="1" applyFill="1" applyBorder="1" applyAlignment="1">
      <alignment horizontal="left" vertical="center" wrapText="1"/>
    </xf>
    <xf numFmtId="0" fontId="12" fillId="4" borderId="27" xfId="0" applyFont="1" applyFill="1" applyBorder="1" applyAlignment="1">
      <alignment horizontal="left" vertical="center" wrapText="1"/>
    </xf>
    <xf numFmtId="0" fontId="12" fillId="4" borderId="28" xfId="0" applyFont="1" applyFill="1" applyBorder="1" applyAlignment="1">
      <alignment horizontal="left" vertical="center" wrapText="1"/>
    </xf>
    <xf numFmtId="0" fontId="1" fillId="0" borderId="27" xfId="0" applyFont="1" applyBorder="1"/>
    <xf numFmtId="0" fontId="1" fillId="0" borderId="28" xfId="0" applyFont="1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4" fillId="0" borderId="0" xfId="0" applyFont="1"/>
    <xf numFmtId="0" fontId="4" fillId="0" borderId="19" xfId="0" applyFont="1" applyBorder="1"/>
    <xf numFmtId="0" fontId="27" fillId="4" borderId="10" xfId="0" applyFont="1" applyFill="1" applyBorder="1" applyAlignment="1">
      <alignment horizontal="left" vertical="center" wrapText="1"/>
    </xf>
    <xf numFmtId="0" fontId="27" fillId="4" borderId="11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" fillId="0" borderId="35" xfId="0" applyFont="1" applyBorder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5" fontId="4" fillId="0" borderId="20" xfId="0" quotePrefix="1" applyNumberFormat="1" applyFont="1" applyBorder="1" applyAlignment="1">
      <alignment horizontal="center" vertical="center" wrapText="1"/>
    </xf>
    <xf numFmtId="165" fontId="4" fillId="0" borderId="7" xfId="0" quotePrefix="1" applyNumberFormat="1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7" fontId="4" fillId="0" borderId="3" xfId="0" applyNumberFormat="1" applyFont="1" applyBorder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4" fillId="0" borderId="19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12" fillId="2" borderId="16" xfId="0" applyFont="1" applyFill="1" applyBorder="1" applyAlignment="1">
      <alignment horizontal="left" vertical="center" wrapText="1"/>
    </xf>
    <xf numFmtId="0" fontId="9" fillId="2" borderId="36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6" fontId="14" fillId="0" borderId="10" xfId="0" applyNumberFormat="1" applyFont="1" applyBorder="1" applyAlignment="1">
      <alignment horizontal="center" vertical="center" wrapText="1"/>
    </xf>
    <xf numFmtId="166" fontId="14" fillId="0" borderId="11" xfId="0" applyNumberFormat="1" applyFont="1" applyBorder="1" applyAlignment="1">
      <alignment horizontal="center" vertical="center" wrapText="1"/>
    </xf>
    <xf numFmtId="166" fontId="14" fillId="0" borderId="12" xfId="0" applyNumberFormat="1" applyFont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left" vertical="center"/>
    </xf>
    <xf numFmtId="164" fontId="14" fillId="0" borderId="11" xfId="0" applyNumberFormat="1" applyFont="1" applyBorder="1" applyAlignment="1">
      <alignment horizontal="left" vertical="center"/>
    </xf>
    <xf numFmtId="164" fontId="14" fillId="0" borderId="25" xfId="0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0" xfId="0" quotePrefix="1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4" borderId="24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14" fontId="7" fillId="0" borderId="31" xfId="0" applyNumberFormat="1" applyFont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14" fontId="7" fillId="0" borderId="28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32" fillId="2" borderId="3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32" fillId="2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167" fontId="1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19" xfId="0" applyFont="1" applyBorder="1" applyAlignment="1">
      <alignment horizontal="center"/>
    </xf>
    <xf numFmtId="0" fontId="9" fillId="2" borderId="37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7" fontId="3" fillId="2" borderId="7" xfId="0" applyNumberFormat="1" applyFont="1" applyFill="1" applyBorder="1" applyAlignment="1">
      <alignment horizontal="center" vertical="center"/>
    </xf>
    <xf numFmtId="167" fontId="3" fillId="2" borderId="21" xfId="0" applyNumberFormat="1" applyFont="1" applyFill="1" applyBorder="1" applyAlignment="1">
      <alignment horizontal="center" vertical="center"/>
    </xf>
    <xf numFmtId="167" fontId="3" fillId="2" borderId="31" xfId="0" applyNumberFormat="1" applyFont="1" applyFill="1" applyBorder="1" applyAlignment="1">
      <alignment horizontal="center" vertical="center"/>
    </xf>
    <xf numFmtId="167" fontId="3" fillId="2" borderId="27" xfId="0" applyNumberFormat="1" applyFont="1" applyFill="1" applyBorder="1" applyAlignment="1">
      <alignment horizontal="center" vertical="center"/>
    </xf>
    <xf numFmtId="167" fontId="3" fillId="2" borderId="2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Fill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46</xdr:row>
      <xdr:rowOff>257175</xdr:rowOff>
    </xdr:from>
    <xdr:to>
      <xdr:col>10</xdr:col>
      <xdr:colOff>733425</xdr:colOff>
      <xdr:row>46</xdr:row>
      <xdr:rowOff>258763</xdr:rowOff>
    </xdr:to>
    <xdr:cxnSp macro="">
      <xdr:nvCxnSpPr>
        <xdr:cNvPr id="2" name="62 Conector rec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457200" y="9772650"/>
          <a:ext cx="32004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6</xdr:row>
          <xdr:rowOff>161925</xdr:rowOff>
        </xdr:from>
        <xdr:to>
          <xdr:col>9</xdr:col>
          <xdr:colOff>304800</xdr:colOff>
          <xdr:row>8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762000</xdr:colOff>
          <xdr:row>6</xdr:row>
          <xdr:rowOff>180975</xdr:rowOff>
        </xdr:from>
        <xdr:to>
          <xdr:col>16</xdr:col>
          <xdr:colOff>266700</xdr:colOff>
          <xdr:row>8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6</xdr:row>
          <xdr:rowOff>161925</xdr:rowOff>
        </xdr:from>
        <xdr:to>
          <xdr:col>25</xdr:col>
          <xdr:colOff>76200</xdr:colOff>
          <xdr:row>8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29</xdr:row>
          <xdr:rowOff>9525</xdr:rowOff>
        </xdr:from>
        <xdr:to>
          <xdr:col>7</xdr:col>
          <xdr:colOff>19050</xdr:colOff>
          <xdr:row>30</xdr:row>
          <xdr:rowOff>38100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104775</xdr:colOff>
          <xdr:row>30</xdr:row>
          <xdr:rowOff>9525</xdr:rowOff>
        </xdr:from>
        <xdr:to>
          <xdr:col>6</xdr:col>
          <xdr:colOff>85725</xdr:colOff>
          <xdr:row>31</xdr:row>
          <xdr:rowOff>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31</xdr:row>
          <xdr:rowOff>9525</xdr:rowOff>
        </xdr:from>
        <xdr:to>
          <xdr:col>7</xdr:col>
          <xdr:colOff>9525</xdr:colOff>
          <xdr:row>32</xdr:row>
          <xdr:rowOff>38100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32</xdr:row>
          <xdr:rowOff>9525</xdr:rowOff>
        </xdr:from>
        <xdr:to>
          <xdr:col>7</xdr:col>
          <xdr:colOff>9525</xdr:colOff>
          <xdr:row>33</xdr:row>
          <xdr:rowOff>38100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33</xdr:row>
          <xdr:rowOff>9525</xdr:rowOff>
        </xdr:from>
        <xdr:to>
          <xdr:col>7</xdr:col>
          <xdr:colOff>19050</xdr:colOff>
          <xdr:row>34</xdr:row>
          <xdr:rowOff>28575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123825</xdr:colOff>
          <xdr:row>34</xdr:row>
          <xdr:rowOff>0</xdr:rowOff>
        </xdr:from>
        <xdr:to>
          <xdr:col>7</xdr:col>
          <xdr:colOff>28575</xdr:colOff>
          <xdr:row>35</xdr:row>
          <xdr:rowOff>28575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29</xdr:row>
          <xdr:rowOff>19050</xdr:rowOff>
        </xdr:from>
        <xdr:to>
          <xdr:col>13</xdr:col>
          <xdr:colOff>76200</xdr:colOff>
          <xdr:row>30</xdr:row>
          <xdr:rowOff>47625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30</xdr:row>
          <xdr:rowOff>28575</xdr:rowOff>
        </xdr:from>
        <xdr:to>
          <xdr:col>13</xdr:col>
          <xdr:colOff>85725</xdr:colOff>
          <xdr:row>31</xdr:row>
          <xdr:rowOff>57150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31</xdr:row>
          <xdr:rowOff>9525</xdr:rowOff>
        </xdr:from>
        <xdr:to>
          <xdr:col>13</xdr:col>
          <xdr:colOff>85725</xdr:colOff>
          <xdr:row>32</xdr:row>
          <xdr:rowOff>38100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32</xdr:row>
          <xdr:rowOff>9525</xdr:rowOff>
        </xdr:from>
        <xdr:to>
          <xdr:col>13</xdr:col>
          <xdr:colOff>85725</xdr:colOff>
          <xdr:row>33</xdr:row>
          <xdr:rowOff>38100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33</xdr:row>
          <xdr:rowOff>9525</xdr:rowOff>
        </xdr:from>
        <xdr:to>
          <xdr:col>13</xdr:col>
          <xdr:colOff>66675</xdr:colOff>
          <xdr:row>34</xdr:row>
          <xdr:rowOff>28575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33</xdr:row>
          <xdr:rowOff>180975</xdr:rowOff>
        </xdr:from>
        <xdr:to>
          <xdr:col>13</xdr:col>
          <xdr:colOff>57150</xdr:colOff>
          <xdr:row>35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323850</xdr:colOff>
          <xdr:row>29</xdr:row>
          <xdr:rowOff>9525</xdr:rowOff>
        </xdr:from>
        <xdr:to>
          <xdr:col>18</xdr:col>
          <xdr:colOff>190500</xdr:colOff>
          <xdr:row>30</xdr:row>
          <xdr:rowOff>38100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314325</xdr:colOff>
          <xdr:row>30</xdr:row>
          <xdr:rowOff>0</xdr:rowOff>
        </xdr:from>
        <xdr:to>
          <xdr:col>18</xdr:col>
          <xdr:colOff>190500</xdr:colOff>
          <xdr:row>31</xdr:row>
          <xdr:rowOff>28575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304800</xdr:colOff>
          <xdr:row>30</xdr:row>
          <xdr:rowOff>171450</xdr:rowOff>
        </xdr:from>
        <xdr:to>
          <xdr:col>18</xdr:col>
          <xdr:colOff>200025</xdr:colOff>
          <xdr:row>32</xdr:row>
          <xdr:rowOff>19050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314325</xdr:colOff>
          <xdr:row>32</xdr:row>
          <xdr:rowOff>9525</xdr:rowOff>
        </xdr:from>
        <xdr:to>
          <xdr:col>18</xdr:col>
          <xdr:colOff>190500</xdr:colOff>
          <xdr:row>33</xdr:row>
          <xdr:rowOff>38100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314325</xdr:colOff>
          <xdr:row>33</xdr:row>
          <xdr:rowOff>9525</xdr:rowOff>
        </xdr:from>
        <xdr:to>
          <xdr:col>18</xdr:col>
          <xdr:colOff>180975</xdr:colOff>
          <xdr:row>34</xdr:row>
          <xdr:rowOff>28575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314325</xdr:colOff>
          <xdr:row>34</xdr:row>
          <xdr:rowOff>0</xdr:rowOff>
        </xdr:from>
        <xdr:to>
          <xdr:col>18</xdr:col>
          <xdr:colOff>190500</xdr:colOff>
          <xdr:row>35</xdr:row>
          <xdr:rowOff>28575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257175</xdr:colOff>
          <xdr:row>29</xdr:row>
          <xdr:rowOff>9525</xdr:rowOff>
        </xdr:from>
        <xdr:to>
          <xdr:col>24</xdr:col>
          <xdr:colOff>200025</xdr:colOff>
          <xdr:row>30</xdr:row>
          <xdr:rowOff>38100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266700</xdr:colOff>
          <xdr:row>29</xdr:row>
          <xdr:rowOff>152400</xdr:rowOff>
        </xdr:from>
        <xdr:to>
          <xdr:col>24</xdr:col>
          <xdr:colOff>200025</xdr:colOff>
          <xdr:row>31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276225</xdr:colOff>
          <xdr:row>30</xdr:row>
          <xdr:rowOff>152400</xdr:rowOff>
        </xdr:from>
        <xdr:to>
          <xdr:col>24</xdr:col>
          <xdr:colOff>200025</xdr:colOff>
          <xdr:row>32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276225</xdr:colOff>
          <xdr:row>31</xdr:row>
          <xdr:rowOff>161925</xdr:rowOff>
        </xdr:from>
        <xdr:to>
          <xdr:col>24</xdr:col>
          <xdr:colOff>200025</xdr:colOff>
          <xdr:row>33</xdr:row>
          <xdr:rowOff>9525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34637</xdr:colOff>
      <xdr:row>1</xdr:row>
      <xdr:rowOff>34636</xdr:rowOff>
    </xdr:from>
    <xdr:to>
      <xdr:col>18</xdr:col>
      <xdr:colOff>255444</xdr:colOff>
      <xdr:row>4</xdr:row>
      <xdr:rowOff>65808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30" r="1"/>
        <a:stretch/>
      </xdr:blipFill>
      <xdr:spPr>
        <a:xfrm>
          <a:off x="363682" y="121227"/>
          <a:ext cx="5572126" cy="628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121"/>
  <sheetViews>
    <sheetView topLeftCell="A35" zoomScale="110" zoomScaleNormal="110" workbookViewId="0">
      <selection activeCell="N46" sqref="N46:Z47"/>
    </sheetView>
  </sheetViews>
  <sheetFormatPr baseColWidth="10" defaultColWidth="11" defaultRowHeight="14.25" x14ac:dyDescent="0.2"/>
  <cols>
    <col min="1" max="1" width="1.85546875" style="1" customWidth="1"/>
    <col min="2" max="3" width="1.5703125" style="1" customWidth="1"/>
    <col min="4" max="4" width="6.85546875" style="1" customWidth="1"/>
    <col min="5" max="5" width="7.42578125" style="1" customWidth="1"/>
    <col min="6" max="6" width="4.28515625" style="1" customWidth="1"/>
    <col min="7" max="9" width="5.42578125" style="1" customWidth="1"/>
    <col min="10" max="10" width="5.140625" style="1" customWidth="1"/>
    <col min="11" max="12" width="5.42578125" style="1" customWidth="1"/>
    <col min="13" max="13" width="3.28515625" style="1" customWidth="1"/>
    <col min="14" max="14" width="5" style="1" customWidth="1"/>
    <col min="15" max="16" width="5.140625" style="1" customWidth="1"/>
    <col min="17" max="17" width="5" style="1" customWidth="1"/>
    <col min="18" max="18" width="5.42578125" style="1" customWidth="1"/>
    <col min="19" max="19" width="5" style="1" customWidth="1"/>
    <col min="20" max="20" width="5.7109375" style="1" customWidth="1"/>
    <col min="21" max="21" width="4.28515625" style="1" customWidth="1"/>
    <col min="22" max="22" width="4.85546875" style="1" customWidth="1"/>
    <col min="23" max="23" width="5.140625" style="1" customWidth="1"/>
    <col min="24" max="24" width="2.5703125" style="1" customWidth="1"/>
    <col min="25" max="25" width="4.7109375" style="1" customWidth="1"/>
    <col min="26" max="26" width="4.42578125" style="1" customWidth="1"/>
    <col min="27" max="27" width="3.5703125" style="1" customWidth="1"/>
    <col min="28" max="16384" width="11" style="1"/>
  </cols>
  <sheetData>
    <row r="1" spans="2:26" ht="6.75" customHeight="1" thickBot="1" x14ac:dyDescent="0.25"/>
    <row r="2" spans="2:26" x14ac:dyDescent="0.2">
      <c r="B2" s="59" t="s">
        <v>35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78"/>
      <c r="P2" s="78"/>
      <c r="Q2" s="78"/>
      <c r="R2" s="78"/>
      <c r="S2" s="78"/>
      <c r="T2" s="138" t="s">
        <v>104</v>
      </c>
      <c r="U2" s="139"/>
      <c r="V2" s="139"/>
      <c r="W2" s="139"/>
      <c r="X2" s="139"/>
      <c r="Y2" s="139"/>
      <c r="Z2" s="140"/>
    </row>
    <row r="3" spans="2:26" ht="18" customHeight="1" x14ac:dyDescent="0.2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2"/>
      <c r="P3" s="32"/>
      <c r="Q3" s="32"/>
      <c r="R3" s="32"/>
      <c r="S3" s="32"/>
      <c r="T3" s="160" t="s">
        <v>66</v>
      </c>
      <c r="U3" s="162" t="s">
        <v>127</v>
      </c>
      <c r="V3" s="163"/>
      <c r="W3" s="163"/>
      <c r="X3" s="163"/>
      <c r="Y3" s="163"/>
      <c r="Z3" s="164"/>
    </row>
    <row r="4" spans="2:26" ht="15" customHeight="1" x14ac:dyDescent="0.2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2"/>
      <c r="P4" s="32"/>
      <c r="Q4" s="32"/>
      <c r="R4" s="32"/>
      <c r="S4" s="32"/>
      <c r="T4" s="161"/>
      <c r="U4" s="165"/>
      <c r="V4" s="166"/>
      <c r="W4" s="166"/>
      <c r="X4" s="166"/>
      <c r="Y4" s="166"/>
      <c r="Z4" s="167"/>
    </row>
    <row r="5" spans="2:26" ht="6.75" customHeight="1" x14ac:dyDescent="0.2">
      <c r="B5" s="168" t="s">
        <v>128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70"/>
      <c r="T5" s="160" t="s">
        <v>1</v>
      </c>
      <c r="U5" s="261">
        <v>45147</v>
      </c>
      <c r="V5" s="262"/>
      <c r="W5" s="262"/>
      <c r="X5" s="262"/>
      <c r="Y5" s="262"/>
      <c r="Z5" s="263"/>
    </row>
    <row r="6" spans="2:26" ht="10.5" customHeight="1" thickBot="1" x14ac:dyDescent="0.25">
      <c r="B6" s="171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3"/>
      <c r="T6" s="260"/>
      <c r="U6" s="264"/>
      <c r="V6" s="265"/>
      <c r="W6" s="265"/>
      <c r="X6" s="265"/>
      <c r="Y6" s="265"/>
      <c r="Z6" s="266"/>
    </row>
    <row r="7" spans="2:26" ht="9.75" customHeight="1" x14ac:dyDescent="0.2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2"/>
      <c r="U7" s="35"/>
      <c r="V7" s="35"/>
      <c r="W7" s="35"/>
      <c r="X7" s="35"/>
      <c r="Y7" s="35"/>
      <c r="Z7" s="36"/>
    </row>
    <row r="8" spans="2:26" ht="15" customHeight="1" x14ac:dyDescent="0.2">
      <c r="B8" s="27"/>
      <c r="C8" s="28"/>
      <c r="D8" s="28"/>
      <c r="E8" s="141" t="s">
        <v>2</v>
      </c>
      <c r="F8" s="141"/>
      <c r="G8" s="37"/>
      <c r="H8" s="37"/>
      <c r="I8" s="37"/>
      <c r="J8" s="37"/>
      <c r="K8" s="142" t="s">
        <v>21</v>
      </c>
      <c r="L8" s="142"/>
      <c r="M8" s="142"/>
      <c r="N8" s="38"/>
      <c r="O8" s="38"/>
      <c r="P8" s="38"/>
      <c r="Q8" s="38"/>
      <c r="R8" s="38"/>
      <c r="S8" s="143" t="s">
        <v>105</v>
      </c>
      <c r="T8" s="143"/>
      <c r="U8" s="143"/>
      <c r="V8" s="28"/>
      <c r="W8" s="28"/>
      <c r="X8" s="28"/>
      <c r="Y8" s="28"/>
      <c r="Z8" s="31"/>
    </row>
    <row r="9" spans="2:26" ht="6.75" customHeight="1" x14ac:dyDescent="0.2"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2"/>
      <c r="U9" s="35"/>
      <c r="V9" s="35"/>
      <c r="W9" s="35"/>
      <c r="X9" s="35"/>
      <c r="Y9" s="35"/>
      <c r="Z9" s="36"/>
    </row>
    <row r="10" spans="2:26" x14ac:dyDescent="0.2">
      <c r="B10" s="27"/>
      <c r="C10" s="28"/>
      <c r="D10" s="50" t="s">
        <v>4</v>
      </c>
      <c r="E10" s="84" t="s">
        <v>118</v>
      </c>
      <c r="F10" s="84"/>
      <c r="G10" s="84"/>
      <c r="H10" s="84"/>
      <c r="I10" s="84"/>
      <c r="J10" s="84"/>
      <c r="K10" s="84"/>
      <c r="L10" s="28"/>
      <c r="M10" s="50"/>
      <c r="N10" s="50"/>
      <c r="O10" s="28"/>
      <c r="P10" s="50" t="s">
        <v>3</v>
      </c>
      <c r="Q10" s="85">
        <v>45035</v>
      </c>
      <c r="R10" s="86"/>
      <c r="S10" s="86"/>
      <c r="T10" s="86"/>
      <c r="U10" s="86"/>
      <c r="V10" s="86"/>
      <c r="W10" s="86"/>
      <c r="X10" s="32"/>
      <c r="Y10" s="51"/>
      <c r="Z10" s="31" t="s">
        <v>35</v>
      </c>
    </row>
    <row r="11" spans="2:26" ht="5.25" customHeight="1" x14ac:dyDescent="0.2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0"/>
      <c r="V11" s="40"/>
      <c r="W11" s="40"/>
      <c r="X11" s="40"/>
      <c r="Y11" s="40"/>
      <c r="Z11" s="42"/>
    </row>
    <row r="12" spans="2:26" ht="12" customHeight="1" x14ac:dyDescent="0.2">
      <c r="B12" s="87" t="s">
        <v>119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91" t="s">
        <v>120</v>
      </c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92"/>
    </row>
    <row r="13" spans="2:26" ht="12" customHeight="1" x14ac:dyDescent="0.2"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3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4"/>
    </row>
    <row r="14" spans="2:26" x14ac:dyDescent="0.2">
      <c r="B14" s="95" t="s">
        <v>5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7"/>
      <c r="N14" s="98" t="s">
        <v>6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9"/>
    </row>
    <row r="15" spans="2:26" ht="18" customHeight="1" x14ac:dyDescent="0.2">
      <c r="B15" s="144" t="s">
        <v>7</v>
      </c>
      <c r="C15" s="145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 t="s">
        <v>44</v>
      </c>
      <c r="O15" s="146"/>
      <c r="P15" s="146"/>
      <c r="Q15" s="146"/>
      <c r="R15" s="146"/>
      <c r="S15" s="146"/>
      <c r="T15" s="146"/>
      <c r="U15" s="147"/>
      <c r="V15" s="147"/>
      <c r="W15" s="147"/>
      <c r="X15" s="147"/>
      <c r="Y15" s="147"/>
      <c r="Z15" s="148"/>
    </row>
    <row r="16" spans="2:26" ht="15" thickBot="1" x14ac:dyDescent="0.25">
      <c r="B16" s="149">
        <v>1719816611</v>
      </c>
      <c r="C16" s="150"/>
      <c r="D16" s="151"/>
      <c r="E16" s="151"/>
      <c r="F16" s="151"/>
      <c r="G16" s="151"/>
      <c r="H16" s="151"/>
      <c r="I16" s="151"/>
      <c r="J16" s="151"/>
      <c r="K16" s="151"/>
      <c r="L16" s="151"/>
      <c r="M16" s="152"/>
      <c r="N16" s="153">
        <v>45170</v>
      </c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5"/>
    </row>
    <row r="17" spans="2:28" x14ac:dyDescent="0.2">
      <c r="B17" s="156" t="s">
        <v>34</v>
      </c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8"/>
    </row>
    <row r="18" spans="2:28" ht="15" customHeight="1" x14ac:dyDescent="0.2">
      <c r="B18" s="159" t="s">
        <v>135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3"/>
    </row>
    <row r="19" spans="2:28" x14ac:dyDescent="0.2">
      <c r="B19" s="159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3"/>
    </row>
    <row r="20" spans="2:28" ht="30" customHeight="1" x14ac:dyDescent="0.2">
      <c r="B20" s="159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3"/>
    </row>
    <row r="21" spans="2:28" ht="9.75" customHeight="1" x14ac:dyDescent="0.2">
      <c r="B21" s="104" t="s">
        <v>45</v>
      </c>
      <c r="C21" s="105"/>
      <c r="D21" s="105"/>
      <c r="E21" s="109" t="s">
        <v>134</v>
      </c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10"/>
    </row>
    <row r="22" spans="2:28" x14ac:dyDescent="0.2">
      <c r="B22" s="104"/>
      <c r="C22" s="105"/>
      <c r="D22" s="105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10"/>
    </row>
    <row r="23" spans="2:28" x14ac:dyDescent="0.2">
      <c r="B23" s="104"/>
      <c r="C23" s="105"/>
      <c r="D23" s="105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10"/>
    </row>
    <row r="24" spans="2:28" ht="13.5" customHeight="1" x14ac:dyDescent="0.2">
      <c r="B24" s="100" t="s">
        <v>46</v>
      </c>
      <c r="C24" s="101"/>
      <c r="D24" s="101"/>
      <c r="E24" s="101"/>
      <c r="F24" s="102" t="s">
        <v>133</v>
      </c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3"/>
      <c r="AA24" s="74"/>
      <c r="AB24" s="74"/>
    </row>
    <row r="25" spans="2:28" ht="13.5" customHeight="1" x14ac:dyDescent="0.2">
      <c r="B25" s="100"/>
      <c r="C25" s="101"/>
      <c r="D25" s="101"/>
      <c r="E25" s="101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3"/>
    </row>
    <row r="26" spans="2:28" ht="15" customHeight="1" x14ac:dyDescent="0.2">
      <c r="B26" s="104" t="s">
        <v>59</v>
      </c>
      <c r="C26" s="105"/>
      <c r="D26" s="105"/>
      <c r="E26" s="108" t="s">
        <v>121</v>
      </c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10"/>
    </row>
    <row r="27" spans="2:28" x14ac:dyDescent="0.2">
      <c r="B27" s="104"/>
      <c r="C27" s="105"/>
      <c r="D27" s="105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10"/>
    </row>
    <row r="28" spans="2:28" ht="19.5" customHeight="1" thickBot="1" x14ac:dyDescent="0.25">
      <c r="B28" s="106"/>
      <c r="C28" s="107"/>
      <c r="D28" s="107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2"/>
    </row>
    <row r="29" spans="2:28" ht="15" customHeight="1" x14ac:dyDescent="0.2">
      <c r="B29" s="126" t="s">
        <v>37</v>
      </c>
      <c r="C29" s="127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9"/>
    </row>
    <row r="30" spans="2:28" x14ac:dyDescent="0.2">
      <c r="B30" s="6"/>
      <c r="C30" s="2" t="s">
        <v>8</v>
      </c>
      <c r="D30" s="2"/>
      <c r="E30" s="2"/>
      <c r="F30" s="2"/>
      <c r="G30" s="2"/>
      <c r="H30" s="2" t="s">
        <v>13</v>
      </c>
      <c r="I30" s="2"/>
      <c r="J30" s="2"/>
      <c r="K30" s="2"/>
      <c r="L30" s="2"/>
      <c r="M30" s="2"/>
      <c r="N30" s="2" t="s">
        <v>106</v>
      </c>
      <c r="O30" s="2"/>
      <c r="P30" s="2"/>
      <c r="Q30" s="2"/>
      <c r="R30" s="2"/>
      <c r="S30" s="2"/>
      <c r="T30" s="130" t="s">
        <v>54</v>
      </c>
      <c r="U30" s="130"/>
      <c r="V30" s="130"/>
      <c r="W30" s="130"/>
      <c r="X30" s="130"/>
      <c r="Y30" s="130"/>
      <c r="Z30" s="131"/>
    </row>
    <row r="31" spans="2:28" x14ac:dyDescent="0.2">
      <c r="B31" s="6"/>
      <c r="C31" s="2" t="s">
        <v>9</v>
      </c>
      <c r="D31" s="2"/>
      <c r="E31" s="2"/>
      <c r="F31" s="2"/>
      <c r="G31" s="2"/>
      <c r="H31" s="2" t="s">
        <v>14</v>
      </c>
      <c r="I31" s="2"/>
      <c r="J31" s="2"/>
      <c r="K31" s="2"/>
      <c r="L31" s="2"/>
      <c r="M31" s="2"/>
      <c r="N31" s="2" t="s">
        <v>107</v>
      </c>
      <c r="O31" s="2"/>
      <c r="P31" s="2"/>
      <c r="Q31" s="2"/>
      <c r="R31" s="2"/>
      <c r="S31" s="2"/>
      <c r="T31" s="130" t="s">
        <v>108</v>
      </c>
      <c r="U31" s="130"/>
      <c r="V31" s="130"/>
      <c r="W31" s="130"/>
      <c r="X31" s="130"/>
      <c r="Y31" s="130"/>
      <c r="Z31" s="131"/>
    </row>
    <row r="32" spans="2:28" x14ac:dyDescent="0.2">
      <c r="B32" s="6"/>
      <c r="C32" s="2" t="s">
        <v>10</v>
      </c>
      <c r="D32" s="2"/>
      <c r="E32" s="2"/>
      <c r="F32" s="2"/>
      <c r="G32" s="2"/>
      <c r="H32" s="2" t="s">
        <v>15</v>
      </c>
      <c r="I32" s="2"/>
      <c r="J32" s="2"/>
      <c r="K32" s="2"/>
      <c r="L32" s="2"/>
      <c r="M32" s="2"/>
      <c r="N32" s="2" t="s">
        <v>109</v>
      </c>
      <c r="O32" s="2"/>
      <c r="P32" s="2"/>
      <c r="Q32" s="2"/>
      <c r="R32" s="2"/>
      <c r="S32" s="2"/>
      <c r="T32" s="130" t="s">
        <v>110</v>
      </c>
      <c r="U32" s="130"/>
      <c r="V32" s="130"/>
      <c r="W32" s="130"/>
      <c r="X32" s="130"/>
      <c r="Y32" s="130"/>
      <c r="Z32" s="131"/>
    </row>
    <row r="33" spans="2:37" x14ac:dyDescent="0.2">
      <c r="B33" s="6"/>
      <c r="C33" s="2" t="s">
        <v>52</v>
      </c>
      <c r="D33" s="2"/>
      <c r="E33" s="2"/>
      <c r="F33" s="2"/>
      <c r="G33" s="2"/>
      <c r="H33" s="2" t="s">
        <v>16</v>
      </c>
      <c r="I33" s="2"/>
      <c r="J33" s="2"/>
      <c r="K33" s="2"/>
      <c r="L33" s="2"/>
      <c r="M33" s="2"/>
      <c r="N33" s="2" t="s">
        <v>18</v>
      </c>
      <c r="O33" s="2"/>
      <c r="P33" s="2"/>
      <c r="Q33" s="2"/>
      <c r="R33" s="2"/>
      <c r="S33" s="2"/>
      <c r="T33" s="130" t="s">
        <v>111</v>
      </c>
      <c r="U33" s="130"/>
      <c r="V33" s="130"/>
      <c r="W33" s="130"/>
      <c r="X33" s="130"/>
      <c r="Y33" s="130"/>
      <c r="Z33" s="131"/>
    </row>
    <row r="34" spans="2:37" ht="15" customHeight="1" x14ac:dyDescent="0.2">
      <c r="B34" s="6"/>
      <c r="C34" s="2" t="s">
        <v>11</v>
      </c>
      <c r="D34" s="2"/>
      <c r="E34" s="2"/>
      <c r="F34" s="2"/>
      <c r="G34" s="2"/>
      <c r="H34" s="2" t="s">
        <v>112</v>
      </c>
      <c r="I34" s="2"/>
      <c r="J34" s="2"/>
      <c r="K34" s="2"/>
      <c r="L34" s="2"/>
      <c r="M34" s="2"/>
      <c r="N34" s="2" t="s">
        <v>113</v>
      </c>
      <c r="O34" s="2"/>
      <c r="P34" s="2"/>
      <c r="Q34" s="2"/>
      <c r="R34" s="2"/>
      <c r="S34" s="2"/>
      <c r="T34" s="19" t="s">
        <v>20</v>
      </c>
      <c r="U34" s="185" t="s">
        <v>58</v>
      </c>
      <c r="V34" s="185"/>
      <c r="W34" s="185"/>
      <c r="X34" s="185"/>
      <c r="Y34" s="185"/>
      <c r="Z34" s="186"/>
    </row>
    <row r="35" spans="2:37" x14ac:dyDescent="0.2">
      <c r="B35" s="6"/>
      <c r="C35" s="2" t="s">
        <v>12</v>
      </c>
      <c r="D35" s="2"/>
      <c r="E35" s="2"/>
      <c r="F35" s="2"/>
      <c r="G35" s="2"/>
      <c r="H35" s="2" t="s">
        <v>17</v>
      </c>
      <c r="I35" s="2"/>
      <c r="J35" s="2"/>
      <c r="K35" s="2"/>
      <c r="L35" s="2"/>
      <c r="M35" s="2"/>
      <c r="N35" s="2" t="s">
        <v>19</v>
      </c>
      <c r="O35" s="2"/>
      <c r="P35" s="2"/>
      <c r="Q35" s="2"/>
      <c r="R35" s="2"/>
      <c r="S35" s="2"/>
      <c r="U35" s="185"/>
      <c r="V35" s="185"/>
      <c r="W35" s="185"/>
      <c r="X35" s="185"/>
      <c r="Y35" s="185"/>
      <c r="Z35" s="186"/>
    </row>
    <row r="36" spans="2:37" ht="7.5" customHeight="1" thickBot="1" x14ac:dyDescent="0.25">
      <c r="B36" s="1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113"/>
      <c r="U36" s="113"/>
      <c r="V36" s="113"/>
      <c r="W36" s="113"/>
      <c r="X36" s="113"/>
      <c r="Y36" s="113"/>
      <c r="Z36" s="114"/>
    </row>
    <row r="37" spans="2:37" x14ac:dyDescent="0.2">
      <c r="B37" s="6"/>
      <c r="D37" s="115" t="s">
        <v>114</v>
      </c>
      <c r="E37" s="115"/>
      <c r="F37" s="115"/>
      <c r="G37" s="115"/>
      <c r="H37" s="115"/>
      <c r="I37" s="115"/>
      <c r="J37" s="115"/>
      <c r="K37" s="115"/>
      <c r="L37" s="115"/>
      <c r="M37" s="116"/>
      <c r="N37" s="117" t="s">
        <v>115</v>
      </c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8"/>
    </row>
    <row r="38" spans="2:37" ht="23.25" customHeight="1" x14ac:dyDescent="0.2">
      <c r="B38" s="119" t="s">
        <v>22</v>
      </c>
      <c r="C38" s="120"/>
      <c r="D38" s="120"/>
      <c r="E38" s="120"/>
      <c r="F38" s="121"/>
      <c r="G38" s="79" t="s">
        <v>122</v>
      </c>
      <c r="H38" s="80"/>
      <c r="I38" s="80"/>
      <c r="J38" s="80"/>
      <c r="K38" s="80"/>
      <c r="L38" s="80"/>
      <c r="M38" s="81"/>
      <c r="N38" s="122" t="s">
        <v>22</v>
      </c>
      <c r="O38" s="120"/>
      <c r="P38" s="120"/>
      <c r="Q38" s="121"/>
      <c r="R38" s="123"/>
      <c r="S38" s="124"/>
      <c r="T38" s="124"/>
      <c r="U38" s="124"/>
      <c r="V38" s="124"/>
      <c r="W38" s="124"/>
      <c r="X38" s="124"/>
      <c r="Y38" s="124"/>
      <c r="Z38" s="125"/>
    </row>
    <row r="39" spans="2:37" ht="23.25" customHeight="1" x14ac:dyDescent="0.2">
      <c r="B39" s="119" t="s">
        <v>36</v>
      </c>
      <c r="C39" s="120"/>
      <c r="D39" s="120"/>
      <c r="E39" s="120"/>
      <c r="F39" s="121"/>
      <c r="G39" s="79" t="s">
        <v>123</v>
      </c>
      <c r="H39" s="80"/>
      <c r="I39" s="80"/>
      <c r="J39" s="80"/>
      <c r="K39" s="80"/>
      <c r="L39" s="80"/>
      <c r="M39" s="81"/>
      <c r="N39" s="122" t="s">
        <v>36</v>
      </c>
      <c r="O39" s="120"/>
      <c r="P39" s="120"/>
      <c r="Q39" s="121"/>
      <c r="R39" s="135"/>
      <c r="S39" s="136"/>
      <c r="T39" s="136"/>
      <c r="U39" s="136"/>
      <c r="V39" s="136"/>
      <c r="W39" s="136"/>
      <c r="X39" s="136"/>
      <c r="Y39" s="136"/>
      <c r="Z39" s="137"/>
    </row>
    <row r="40" spans="2:37" ht="23.25" customHeight="1" x14ac:dyDescent="0.2">
      <c r="B40" s="193" t="s">
        <v>64</v>
      </c>
      <c r="C40" s="194"/>
      <c r="D40" s="194"/>
      <c r="E40" s="194"/>
      <c r="F40" s="195"/>
      <c r="G40" s="79" t="s">
        <v>61</v>
      </c>
      <c r="H40" s="80"/>
      <c r="I40" s="80"/>
      <c r="J40" s="80"/>
      <c r="K40" s="80"/>
      <c r="L40" s="80"/>
      <c r="M40" s="81"/>
      <c r="N40" s="132" t="s">
        <v>64</v>
      </c>
      <c r="O40" s="133"/>
      <c r="P40" s="133"/>
      <c r="Q40" s="134"/>
      <c r="R40" s="135"/>
      <c r="S40" s="136"/>
      <c r="T40" s="136"/>
      <c r="U40" s="136"/>
      <c r="V40" s="136"/>
      <c r="W40" s="136"/>
      <c r="X40" s="136"/>
      <c r="Y40" s="136"/>
      <c r="Z40" s="137"/>
    </row>
    <row r="41" spans="2:37" ht="23.25" customHeight="1" x14ac:dyDescent="0.2">
      <c r="B41" s="119" t="s">
        <v>96</v>
      </c>
      <c r="C41" s="120"/>
      <c r="D41" s="120"/>
      <c r="E41" s="120"/>
      <c r="F41" s="121"/>
      <c r="G41" s="79" t="s">
        <v>124</v>
      </c>
      <c r="H41" s="80"/>
      <c r="I41" s="80"/>
      <c r="J41" s="80"/>
      <c r="K41" s="80"/>
      <c r="L41" s="80"/>
      <c r="M41" s="81"/>
      <c r="N41" s="122" t="s">
        <v>96</v>
      </c>
      <c r="O41" s="120"/>
      <c r="P41" s="120"/>
      <c r="Q41" s="121"/>
      <c r="R41" s="123"/>
      <c r="S41" s="124"/>
      <c r="T41" s="124"/>
      <c r="U41" s="124"/>
      <c r="V41" s="124"/>
      <c r="W41" s="124"/>
      <c r="X41" s="124"/>
      <c r="Y41" s="124"/>
      <c r="Z41" s="125"/>
    </row>
    <row r="42" spans="2:37" ht="23.25" customHeight="1" x14ac:dyDescent="0.2">
      <c r="B42" s="119" t="s">
        <v>23</v>
      </c>
      <c r="C42" s="120"/>
      <c r="D42" s="120"/>
      <c r="E42" s="120"/>
      <c r="F42" s="121"/>
      <c r="G42" s="187" t="s">
        <v>125</v>
      </c>
      <c r="H42" s="188"/>
      <c r="I42" s="188"/>
      <c r="J42" s="188"/>
      <c r="K42" s="188"/>
      <c r="L42" s="188"/>
      <c r="M42" s="189"/>
      <c r="N42" s="190" t="s">
        <v>23</v>
      </c>
      <c r="O42" s="191"/>
      <c r="P42" s="191"/>
      <c r="Q42" s="192"/>
      <c r="R42" s="135"/>
      <c r="S42" s="136"/>
      <c r="T42" s="136"/>
      <c r="U42" s="136"/>
      <c r="V42" s="136"/>
      <c r="W42" s="136"/>
      <c r="X42" s="136"/>
      <c r="Y42" s="136"/>
      <c r="Z42" s="137"/>
      <c r="AE42" s="79"/>
      <c r="AF42" s="80"/>
      <c r="AG42" s="80"/>
      <c r="AH42" s="80"/>
      <c r="AI42" s="80"/>
      <c r="AJ42" s="80"/>
      <c r="AK42" s="81"/>
    </row>
    <row r="43" spans="2:37" ht="23.25" customHeight="1" x14ac:dyDescent="0.2">
      <c r="B43" s="119" t="s">
        <v>24</v>
      </c>
      <c r="C43" s="120"/>
      <c r="D43" s="120"/>
      <c r="E43" s="120"/>
      <c r="F43" s="121"/>
      <c r="G43" s="174">
        <v>1212</v>
      </c>
      <c r="H43" s="175"/>
      <c r="I43" s="175"/>
      <c r="J43" s="175"/>
      <c r="K43" s="175"/>
      <c r="L43" s="175"/>
      <c r="M43" s="176"/>
      <c r="N43" s="122" t="s">
        <v>24</v>
      </c>
      <c r="O43" s="120"/>
      <c r="P43" s="120"/>
      <c r="Q43" s="121"/>
      <c r="R43" s="177"/>
      <c r="S43" s="178"/>
      <c r="T43" s="178"/>
      <c r="U43" s="178"/>
      <c r="V43" s="178"/>
      <c r="W43" s="178"/>
      <c r="X43" s="178"/>
      <c r="Y43" s="178"/>
      <c r="Z43" s="179"/>
      <c r="AE43" s="82"/>
      <c r="AF43" s="82"/>
      <c r="AG43" s="82"/>
      <c r="AH43" s="82"/>
      <c r="AI43" s="82"/>
      <c r="AJ43" s="82"/>
      <c r="AK43" s="82"/>
    </row>
    <row r="44" spans="2:37" ht="23.25" customHeight="1" x14ac:dyDescent="0.2">
      <c r="B44" s="119" t="s">
        <v>25</v>
      </c>
      <c r="C44" s="120"/>
      <c r="D44" s="120" t="s">
        <v>25</v>
      </c>
      <c r="E44" s="120"/>
      <c r="F44" s="121"/>
      <c r="G44" s="180" t="s">
        <v>126</v>
      </c>
      <c r="H44" s="181"/>
      <c r="I44" s="181"/>
      <c r="J44" s="181"/>
      <c r="K44" s="181"/>
      <c r="L44" s="181"/>
      <c r="M44" s="182"/>
      <c r="N44" s="122" t="s">
        <v>25</v>
      </c>
      <c r="O44" s="120"/>
      <c r="P44" s="120"/>
      <c r="Q44" s="121"/>
      <c r="R44" s="183"/>
      <c r="S44" s="181"/>
      <c r="T44" s="181"/>
      <c r="U44" s="181"/>
      <c r="V44" s="181"/>
      <c r="W44" s="181"/>
      <c r="X44" s="181"/>
      <c r="Y44" s="181"/>
      <c r="Z44" s="184"/>
    </row>
    <row r="45" spans="2:37" x14ac:dyDescent="0.2">
      <c r="B45" s="58"/>
      <c r="C45" s="66"/>
      <c r="D45" s="196" t="s">
        <v>26</v>
      </c>
      <c r="E45" s="196"/>
      <c r="F45" s="196"/>
      <c r="G45" s="196"/>
      <c r="H45" s="196"/>
      <c r="I45" s="196"/>
      <c r="J45" s="196"/>
      <c r="K45" s="196"/>
      <c r="L45" s="196"/>
      <c r="M45" s="197"/>
      <c r="N45" s="212" t="s">
        <v>129</v>
      </c>
      <c r="O45" s="212"/>
      <c r="P45" s="212"/>
      <c r="Q45" s="212"/>
      <c r="R45" s="212"/>
      <c r="S45" s="212"/>
      <c r="T45" s="212"/>
      <c r="U45" s="213"/>
      <c r="V45" s="213"/>
      <c r="W45" s="213"/>
      <c r="X45" s="213"/>
      <c r="Y45" s="213"/>
      <c r="Z45" s="214"/>
    </row>
    <row r="46" spans="2:37" ht="16.5" customHeight="1" x14ac:dyDescent="0.2">
      <c r="B46" s="34"/>
      <c r="C46" s="35"/>
      <c r="D46" s="55"/>
      <c r="E46" s="55"/>
      <c r="F46" s="55"/>
      <c r="G46" s="55"/>
      <c r="H46" s="55"/>
      <c r="I46" s="55"/>
      <c r="J46" s="55"/>
      <c r="K46" s="55"/>
      <c r="L46" s="55"/>
      <c r="M46" s="56"/>
      <c r="N46" s="215" t="s">
        <v>27</v>
      </c>
      <c r="O46" s="215"/>
      <c r="P46" s="215"/>
      <c r="Q46" s="215"/>
      <c r="R46" s="215"/>
      <c r="S46" s="215"/>
      <c r="T46" s="215"/>
      <c r="U46" s="216"/>
      <c r="V46" s="216"/>
      <c r="W46" s="216"/>
      <c r="X46" s="216"/>
      <c r="Y46" s="216"/>
      <c r="Z46" s="217"/>
    </row>
    <row r="47" spans="2:37" ht="16.5" customHeight="1" x14ac:dyDescent="0.2">
      <c r="B47" s="34"/>
      <c r="C47" s="35"/>
      <c r="D47" s="57" t="s">
        <v>0</v>
      </c>
      <c r="E47" s="57"/>
      <c r="F47" s="57"/>
      <c r="G47" s="57"/>
      <c r="H47" s="57"/>
      <c r="I47" s="57"/>
      <c r="J47" s="57"/>
      <c r="K47" s="57"/>
      <c r="L47" s="57" t="s">
        <v>1</v>
      </c>
      <c r="M47" s="56"/>
      <c r="N47" s="215"/>
      <c r="O47" s="215"/>
      <c r="P47" s="215"/>
      <c r="Q47" s="215"/>
      <c r="R47" s="215"/>
      <c r="S47" s="215"/>
      <c r="T47" s="215"/>
      <c r="U47" s="216"/>
      <c r="V47" s="216"/>
      <c r="W47" s="216"/>
      <c r="X47" s="216"/>
      <c r="Y47" s="216"/>
      <c r="Z47" s="217"/>
    </row>
    <row r="48" spans="2:37" x14ac:dyDescent="0.2">
      <c r="B48" s="34"/>
      <c r="C48" s="35"/>
      <c r="D48" s="55"/>
      <c r="E48" s="55"/>
      <c r="F48" s="55"/>
      <c r="G48" s="55"/>
      <c r="H48" s="55"/>
      <c r="I48" s="55"/>
      <c r="J48" s="55"/>
      <c r="K48" s="55"/>
      <c r="L48" s="55"/>
      <c r="M48" s="56"/>
      <c r="N48" s="218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20"/>
    </row>
    <row r="49" spans="2:26" ht="15" thickBot="1" x14ac:dyDescent="0.25">
      <c r="B49" s="34"/>
      <c r="C49" s="35"/>
      <c r="D49" s="55"/>
      <c r="E49" s="55"/>
      <c r="F49" s="55"/>
      <c r="G49" s="55"/>
      <c r="H49" s="55"/>
      <c r="I49" s="55"/>
      <c r="J49" s="55"/>
      <c r="K49" s="55"/>
      <c r="L49" s="55"/>
      <c r="M49" s="56"/>
      <c r="N49" s="221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3"/>
    </row>
    <row r="50" spans="2:26" ht="21" customHeight="1" x14ac:dyDescent="0.2">
      <c r="B50" s="59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6"/>
    </row>
    <row r="51" spans="2:26" ht="22.5" customHeight="1" x14ac:dyDescent="0.2">
      <c r="B51" s="27"/>
      <c r="C51" s="28"/>
      <c r="D51" s="28"/>
      <c r="E51" s="28"/>
      <c r="F51" s="28"/>
      <c r="G51" s="28"/>
      <c r="H51" s="28"/>
      <c r="J51" s="29" t="s">
        <v>27</v>
      </c>
      <c r="K51" s="44"/>
      <c r="L51" s="3"/>
      <c r="M51" s="30"/>
      <c r="N51" s="30"/>
      <c r="O51" s="30"/>
      <c r="P51" s="30"/>
      <c r="Q51" s="30"/>
      <c r="R51" s="30"/>
      <c r="S51" s="28"/>
      <c r="T51" s="28"/>
      <c r="U51" s="28"/>
      <c r="V51" s="28"/>
      <c r="W51" s="28"/>
      <c r="X51" s="28"/>
      <c r="Y51" s="28"/>
      <c r="Z51" s="31"/>
    </row>
    <row r="52" spans="2:26" s="20" customFormat="1" x14ac:dyDescent="0.25">
      <c r="B52" s="224" t="s">
        <v>130</v>
      </c>
      <c r="C52" s="225"/>
      <c r="D52" s="225"/>
      <c r="E52" s="225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6"/>
    </row>
    <row r="53" spans="2:26" s="20" customFormat="1" x14ac:dyDescent="0.25">
      <c r="B53" s="272" t="s">
        <v>65</v>
      </c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3"/>
    </row>
    <row r="54" spans="2:26" s="20" customFormat="1" ht="18.75" customHeight="1" thickBot="1" x14ac:dyDescent="0.3">
      <c r="B54" s="273" t="s">
        <v>136</v>
      </c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5"/>
    </row>
    <row r="55" spans="2:26" ht="23.25" customHeight="1" x14ac:dyDescent="0.2">
      <c r="B55" s="276" t="s">
        <v>39</v>
      </c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8"/>
      <c r="N55" s="279" t="s">
        <v>43</v>
      </c>
      <c r="O55" s="280"/>
      <c r="P55" s="280"/>
      <c r="Q55" s="280"/>
      <c r="R55" s="280"/>
      <c r="S55" s="280"/>
      <c r="T55" s="277"/>
      <c r="U55" s="277"/>
      <c r="V55" s="277"/>
      <c r="W55" s="277"/>
      <c r="X55" s="277"/>
      <c r="Y55" s="277"/>
      <c r="Z55" s="278"/>
    </row>
    <row r="56" spans="2:26" ht="21.75" customHeight="1" x14ac:dyDescent="0.2">
      <c r="B56" s="281" t="s">
        <v>97</v>
      </c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3"/>
      <c r="N56" s="34"/>
      <c r="O56" s="35"/>
      <c r="P56" s="35"/>
      <c r="Q56" s="35"/>
      <c r="R56" s="35"/>
      <c r="S56" s="35"/>
      <c r="T56" s="32"/>
      <c r="U56" s="35"/>
      <c r="V56" s="35"/>
      <c r="W56" s="35"/>
      <c r="X56" s="35"/>
      <c r="Y56" s="35"/>
      <c r="Z56" s="36"/>
    </row>
    <row r="57" spans="2:26" ht="15" customHeight="1" thickBot="1" x14ac:dyDescent="0.25">
      <c r="B57" s="284" t="s">
        <v>62</v>
      </c>
      <c r="C57" s="249"/>
      <c r="D57" s="285"/>
      <c r="E57" s="286" t="s">
        <v>27</v>
      </c>
      <c r="F57" s="287"/>
      <c r="G57" s="287"/>
      <c r="H57" s="287"/>
      <c r="I57" s="287"/>
      <c r="J57" s="288" t="s">
        <v>3</v>
      </c>
      <c r="K57" s="289"/>
      <c r="L57" s="290"/>
      <c r="M57" s="291"/>
      <c r="N57" s="27"/>
      <c r="O57" s="28" t="s">
        <v>28</v>
      </c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31"/>
    </row>
    <row r="58" spans="2:26" ht="15" customHeight="1" x14ac:dyDescent="0.2">
      <c r="B58" s="284"/>
      <c r="C58" s="249"/>
      <c r="D58" s="285"/>
      <c r="E58" s="286"/>
      <c r="F58" s="287"/>
      <c r="G58" s="287"/>
      <c r="H58" s="287"/>
      <c r="I58" s="287"/>
      <c r="J58" s="288"/>
      <c r="K58" s="289"/>
      <c r="L58" s="290"/>
      <c r="M58" s="291"/>
      <c r="N58" s="292" t="s">
        <v>41</v>
      </c>
      <c r="O58" s="293"/>
      <c r="P58" s="293"/>
      <c r="Q58" s="293"/>
      <c r="R58" s="293"/>
      <c r="S58" s="293"/>
      <c r="T58" s="294"/>
      <c r="U58" s="294"/>
      <c r="V58" s="294"/>
      <c r="W58" s="294"/>
      <c r="X58" s="294"/>
      <c r="Y58" s="294"/>
      <c r="Z58" s="295"/>
    </row>
    <row r="59" spans="2:26" ht="11.25" customHeight="1" x14ac:dyDescent="0.2">
      <c r="B59" s="230" t="s">
        <v>42</v>
      </c>
      <c r="C59" s="231"/>
      <c r="D59" s="232"/>
      <c r="E59" s="239" t="s">
        <v>132</v>
      </c>
      <c r="F59" s="240"/>
      <c r="G59" s="245" t="s">
        <v>27</v>
      </c>
      <c r="H59" s="246"/>
      <c r="I59" s="246"/>
      <c r="J59" s="246"/>
      <c r="K59" s="246"/>
      <c r="L59" s="246"/>
      <c r="M59" s="247"/>
      <c r="N59" s="61"/>
      <c r="O59" s="198" t="s">
        <v>131</v>
      </c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62"/>
    </row>
    <row r="60" spans="2:26" ht="10.5" customHeight="1" x14ac:dyDescent="0.2">
      <c r="B60" s="233"/>
      <c r="C60" s="234"/>
      <c r="D60" s="235"/>
      <c r="E60" s="241"/>
      <c r="F60" s="242"/>
      <c r="G60" s="248"/>
      <c r="H60" s="249"/>
      <c r="I60" s="249"/>
      <c r="J60" s="249"/>
      <c r="K60" s="249"/>
      <c r="L60" s="249"/>
      <c r="M60" s="250"/>
      <c r="N60" s="209" t="s">
        <v>63</v>
      </c>
      <c r="O60" s="210"/>
      <c r="P60" s="210"/>
      <c r="Q60" s="210"/>
      <c r="R60" s="210"/>
      <c r="S60" s="211"/>
      <c r="T60" s="199" t="s">
        <v>40</v>
      </c>
      <c r="U60" s="200"/>
      <c r="V60" s="203">
        <f>+U5</f>
        <v>45147</v>
      </c>
      <c r="W60" s="204"/>
      <c r="X60" s="204"/>
      <c r="Y60" s="204"/>
      <c r="Z60" s="205"/>
    </row>
    <row r="61" spans="2:26" ht="21.75" customHeight="1" thickBot="1" x14ac:dyDescent="0.25">
      <c r="B61" s="236"/>
      <c r="C61" s="237"/>
      <c r="D61" s="238"/>
      <c r="E61" s="243"/>
      <c r="F61" s="244"/>
      <c r="G61" s="251"/>
      <c r="H61" s="252"/>
      <c r="I61" s="252"/>
      <c r="J61" s="252"/>
      <c r="K61" s="252"/>
      <c r="L61" s="252"/>
      <c r="M61" s="253"/>
      <c r="N61" s="227" t="str">
        <f>+U3</f>
        <v>AP-RH-170-2023</v>
      </c>
      <c r="O61" s="228"/>
      <c r="P61" s="228"/>
      <c r="Q61" s="228"/>
      <c r="R61" s="228"/>
      <c r="S61" s="229"/>
      <c r="T61" s="201"/>
      <c r="U61" s="202"/>
      <c r="V61" s="206"/>
      <c r="W61" s="207"/>
      <c r="X61" s="207"/>
      <c r="Y61" s="207"/>
      <c r="Z61" s="208"/>
    </row>
    <row r="62" spans="2:26" ht="20.25" customHeight="1" x14ac:dyDescent="0.2">
      <c r="B62" s="67"/>
      <c r="C62" s="67"/>
      <c r="D62" s="67"/>
      <c r="E62" s="68"/>
      <c r="F62" s="68"/>
      <c r="G62" s="69"/>
      <c r="H62" s="69"/>
      <c r="I62" s="69"/>
      <c r="J62" s="69"/>
      <c r="K62" s="69"/>
      <c r="L62" s="69"/>
      <c r="M62" s="69"/>
      <c r="N62" s="75" t="s">
        <v>98</v>
      </c>
      <c r="O62" s="70"/>
      <c r="P62" s="71"/>
      <c r="Q62" s="71"/>
      <c r="R62" s="71"/>
      <c r="S62" s="71"/>
      <c r="T62" s="72"/>
      <c r="U62" s="72"/>
      <c r="V62" s="73"/>
      <c r="W62" s="73"/>
      <c r="X62" s="73"/>
      <c r="Y62" s="73"/>
      <c r="Z62" s="73"/>
    </row>
    <row r="63" spans="2:26" ht="15" thickBot="1" x14ac:dyDescent="0.25"/>
    <row r="64" spans="2:26" x14ac:dyDescent="0.2"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/>
      <c r="O64" s="10"/>
      <c r="P64" s="10"/>
      <c r="Q64" s="10"/>
      <c r="R64" s="10"/>
      <c r="S64" s="10"/>
      <c r="T64" s="15"/>
      <c r="U64" s="9"/>
      <c r="V64" s="9"/>
      <c r="W64" s="9"/>
      <c r="X64" s="9"/>
      <c r="Y64" s="9"/>
      <c r="Z64" s="11"/>
    </row>
    <row r="65" spans="2:26" x14ac:dyDescent="0.2">
      <c r="B65" s="6"/>
      <c r="N65" s="18"/>
      <c r="O65" s="18"/>
      <c r="P65" s="18"/>
      <c r="Q65" s="18"/>
      <c r="R65" s="18"/>
      <c r="S65" s="18"/>
      <c r="T65" s="16"/>
      <c r="Z65" s="5"/>
    </row>
    <row r="66" spans="2:26" x14ac:dyDescent="0.2">
      <c r="B66" s="6"/>
      <c r="N66" s="18"/>
      <c r="O66" s="18"/>
      <c r="P66" s="18"/>
      <c r="Q66" s="18"/>
      <c r="R66" s="18"/>
      <c r="S66" s="18"/>
      <c r="T66" s="16"/>
      <c r="Z66" s="5"/>
    </row>
    <row r="67" spans="2:26" x14ac:dyDescent="0.2">
      <c r="B67" s="6"/>
      <c r="N67" s="18"/>
      <c r="O67" s="18"/>
      <c r="P67" s="18"/>
      <c r="Q67" s="18"/>
      <c r="R67" s="18"/>
      <c r="S67" s="18"/>
      <c r="T67" s="16"/>
      <c r="Z67" s="5"/>
    </row>
    <row r="68" spans="2:26" x14ac:dyDescent="0.2">
      <c r="B68" s="6"/>
      <c r="N68" s="18"/>
      <c r="O68" s="18"/>
      <c r="P68" s="18"/>
      <c r="Q68" s="18"/>
      <c r="R68" s="18"/>
      <c r="S68" s="18"/>
      <c r="T68" s="16"/>
      <c r="Z68" s="5"/>
    </row>
    <row r="69" spans="2:26" x14ac:dyDescent="0.2">
      <c r="B69" s="21"/>
      <c r="C69" s="4"/>
      <c r="D69" s="4" t="s">
        <v>99</v>
      </c>
      <c r="E69" s="4"/>
      <c r="F69" s="4"/>
      <c r="G69" s="4"/>
      <c r="H69" s="4"/>
      <c r="I69" s="23"/>
      <c r="J69" s="23"/>
      <c r="K69" s="23"/>
      <c r="L69" s="23"/>
      <c r="M69" s="23"/>
      <c r="N69" s="24"/>
      <c r="O69" s="45" t="s">
        <v>1</v>
      </c>
      <c r="P69" s="4"/>
      <c r="Q69" s="23"/>
      <c r="R69" s="23"/>
      <c r="S69" s="23"/>
      <c r="T69" s="46"/>
      <c r="U69" s="23"/>
      <c r="V69" s="23"/>
      <c r="W69" s="23"/>
      <c r="X69" s="23"/>
      <c r="Y69" s="23"/>
      <c r="Z69" s="22"/>
    </row>
    <row r="70" spans="2:26" ht="18" customHeight="1" x14ac:dyDescent="0.2">
      <c r="B70" s="21"/>
      <c r="C70" s="4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2"/>
    </row>
    <row r="71" spans="2:26" x14ac:dyDescent="0.2">
      <c r="B71" s="2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20"/>
      <c r="U71" s="4"/>
      <c r="V71" s="4"/>
      <c r="W71" s="4"/>
      <c r="X71" s="4"/>
      <c r="Y71" s="4"/>
      <c r="Z71" s="22"/>
    </row>
    <row r="72" spans="2:26" x14ac:dyDescent="0.2">
      <c r="B72" s="21"/>
      <c r="C72" s="4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2"/>
    </row>
    <row r="73" spans="2:26" x14ac:dyDescent="0.2">
      <c r="B73" s="2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20"/>
      <c r="U73" s="4"/>
      <c r="V73" s="4"/>
      <c r="W73" s="4"/>
      <c r="X73" s="4"/>
      <c r="Y73" s="4"/>
      <c r="Z73" s="22"/>
    </row>
    <row r="74" spans="2:26" x14ac:dyDescent="0.2">
      <c r="B74" s="2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20"/>
      <c r="U74" s="4"/>
      <c r="V74" s="4"/>
      <c r="W74" s="4"/>
      <c r="X74" s="4"/>
      <c r="Y74" s="4"/>
      <c r="Z74" s="22"/>
    </row>
    <row r="75" spans="2:26" x14ac:dyDescent="0.2">
      <c r="B75" s="2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20"/>
      <c r="U75" s="4"/>
      <c r="V75" s="4"/>
      <c r="W75" s="4"/>
      <c r="X75" s="4"/>
      <c r="Y75" s="4"/>
      <c r="Z75" s="22"/>
    </row>
    <row r="76" spans="2:26" x14ac:dyDescent="0.2">
      <c r="B76" s="2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20"/>
      <c r="U76" s="4"/>
      <c r="V76" s="4"/>
      <c r="W76" s="4"/>
      <c r="X76" s="4"/>
      <c r="Y76" s="4"/>
      <c r="Z76" s="22"/>
    </row>
    <row r="77" spans="2:26" x14ac:dyDescent="0.2">
      <c r="B77" s="2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20"/>
      <c r="U77" s="4"/>
      <c r="V77" s="4"/>
      <c r="W77" s="4"/>
      <c r="X77" s="4"/>
      <c r="Y77" s="4"/>
      <c r="Z77" s="22"/>
    </row>
    <row r="78" spans="2:26" x14ac:dyDescent="0.2">
      <c r="B78" s="2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20"/>
      <c r="U78" s="4"/>
      <c r="V78" s="4"/>
      <c r="W78" s="4"/>
      <c r="X78" s="4"/>
      <c r="Y78" s="4"/>
      <c r="Z78" s="22"/>
    </row>
    <row r="79" spans="2:26" ht="27.75" customHeight="1" x14ac:dyDescent="0.2">
      <c r="B79" s="21"/>
      <c r="C79" s="4"/>
      <c r="D79" s="4" t="s">
        <v>29</v>
      </c>
      <c r="E79" s="4"/>
      <c r="F79" s="4"/>
      <c r="G79" s="4"/>
      <c r="H79" s="255"/>
      <c r="I79" s="255"/>
      <c r="J79" s="255"/>
      <c r="K79" s="255"/>
      <c r="L79" s="255"/>
      <c r="M79" s="255"/>
      <c r="N79" s="255"/>
      <c r="O79" s="4"/>
      <c r="P79" s="4" t="s">
        <v>30</v>
      </c>
      <c r="Q79" s="4"/>
      <c r="R79" s="4"/>
      <c r="S79" s="4"/>
      <c r="T79" s="256">
        <f>R41</f>
        <v>0</v>
      </c>
      <c r="U79" s="256"/>
      <c r="V79" s="256"/>
      <c r="W79" s="256"/>
      <c r="X79" s="256"/>
      <c r="Y79" s="256"/>
      <c r="Z79" s="22"/>
    </row>
    <row r="80" spans="2:26" ht="27.75" customHeight="1" x14ac:dyDescent="0.2">
      <c r="B80" s="21"/>
      <c r="C80" s="4"/>
      <c r="D80" s="4" t="s">
        <v>31</v>
      </c>
      <c r="E80" s="4"/>
      <c r="F80" s="4"/>
      <c r="G80" s="4"/>
      <c r="H80" s="4"/>
      <c r="I80" s="257" t="s">
        <v>19</v>
      </c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2"/>
    </row>
    <row r="81" spans="2:26" ht="27.75" customHeight="1" x14ac:dyDescent="0.2">
      <c r="B81" s="21"/>
      <c r="C81" s="4"/>
      <c r="D81" s="4" t="s">
        <v>100</v>
      </c>
      <c r="E81" s="4"/>
      <c r="F81" s="4"/>
      <c r="G81" s="4"/>
      <c r="H81" s="4"/>
      <c r="I81" s="4"/>
      <c r="J81" s="4"/>
      <c r="K81" s="268" t="s">
        <v>117</v>
      </c>
      <c r="L81" s="268"/>
      <c r="M81" s="268"/>
      <c r="N81" s="268"/>
      <c r="O81" s="268"/>
      <c r="P81" s="4" t="s">
        <v>3</v>
      </c>
      <c r="Q81" s="4"/>
      <c r="R81" s="269"/>
      <c r="S81" s="188"/>
      <c r="T81" s="188"/>
      <c r="U81" s="188"/>
      <c r="V81" s="188"/>
      <c r="W81" s="188"/>
      <c r="X81" s="188"/>
      <c r="Y81" s="188"/>
      <c r="Z81" s="22"/>
    </row>
    <row r="82" spans="2:26" x14ac:dyDescent="0.2">
      <c r="B82" s="2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20"/>
      <c r="U82" s="4"/>
      <c r="V82" s="4"/>
      <c r="W82" s="4"/>
      <c r="X82" s="4"/>
      <c r="Y82" s="4"/>
      <c r="Z82" s="22"/>
    </row>
    <row r="83" spans="2:26" x14ac:dyDescent="0.2">
      <c r="B83" s="2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20"/>
      <c r="U83" s="4"/>
      <c r="V83" s="4"/>
      <c r="W83" s="4"/>
      <c r="X83" s="4"/>
      <c r="Y83" s="4"/>
      <c r="Z83" s="22"/>
    </row>
    <row r="84" spans="2:26" x14ac:dyDescent="0.2">
      <c r="B84" s="2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20"/>
      <c r="U84" s="4"/>
      <c r="V84" s="4"/>
      <c r="W84" s="4"/>
      <c r="X84" s="4"/>
      <c r="Y84" s="4"/>
      <c r="Z84" s="22"/>
    </row>
    <row r="85" spans="2:26" x14ac:dyDescent="0.2">
      <c r="B85" s="2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0"/>
      <c r="U85" s="4"/>
      <c r="V85" s="4"/>
      <c r="W85" s="4"/>
      <c r="X85" s="4"/>
      <c r="Y85" s="4"/>
      <c r="Z85" s="22"/>
    </row>
    <row r="86" spans="2:26" x14ac:dyDescent="0.2">
      <c r="B86" s="2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20"/>
      <c r="U86" s="4"/>
      <c r="V86" s="4"/>
      <c r="W86" s="4"/>
      <c r="X86" s="4"/>
      <c r="Y86" s="4"/>
      <c r="Z86" s="22"/>
    </row>
    <row r="87" spans="2:26" x14ac:dyDescent="0.2">
      <c r="B87" s="2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20"/>
      <c r="U87" s="4"/>
      <c r="V87" s="4"/>
      <c r="W87" s="4"/>
      <c r="X87" s="4"/>
      <c r="Y87" s="4"/>
      <c r="Z87" s="22"/>
    </row>
    <row r="88" spans="2:26" x14ac:dyDescent="0.2">
      <c r="B88" s="2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20"/>
      <c r="U88" s="4"/>
      <c r="V88" s="4"/>
      <c r="W88" s="4"/>
      <c r="X88" s="4"/>
      <c r="Y88" s="4"/>
      <c r="Z88" s="22"/>
    </row>
    <row r="89" spans="2:26" x14ac:dyDescent="0.2">
      <c r="B89" s="21"/>
      <c r="C89" s="4"/>
      <c r="D89" s="4" t="s">
        <v>101</v>
      </c>
      <c r="E89" s="4"/>
      <c r="F89" s="4"/>
      <c r="G89" s="4"/>
      <c r="H89" s="4"/>
      <c r="I89" s="4"/>
      <c r="J89" s="4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2"/>
    </row>
    <row r="90" spans="2:26" x14ac:dyDescent="0.2">
      <c r="B90" s="2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20"/>
      <c r="U90" s="4"/>
      <c r="V90" s="4"/>
      <c r="W90" s="4"/>
      <c r="X90" s="4"/>
      <c r="Y90" s="4"/>
      <c r="Z90" s="22"/>
    </row>
    <row r="91" spans="2:26" x14ac:dyDescent="0.2">
      <c r="B91" s="2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20"/>
      <c r="U91" s="4"/>
      <c r="V91" s="4"/>
      <c r="W91" s="4"/>
      <c r="X91" s="4"/>
      <c r="Y91" s="4"/>
      <c r="Z91" s="22"/>
    </row>
    <row r="92" spans="2:26" x14ac:dyDescent="0.2">
      <c r="B92" s="2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20"/>
      <c r="U92" s="4"/>
      <c r="V92" s="4"/>
      <c r="W92" s="4"/>
      <c r="X92" s="4"/>
      <c r="Y92" s="4"/>
      <c r="Z92" s="22"/>
    </row>
    <row r="93" spans="2:26" x14ac:dyDescent="0.2">
      <c r="B93" s="2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20"/>
      <c r="U93" s="4"/>
      <c r="V93" s="4"/>
      <c r="W93" s="4"/>
      <c r="X93" s="4"/>
      <c r="Y93" s="4"/>
      <c r="Z93" s="22"/>
    </row>
    <row r="94" spans="2:26" x14ac:dyDescent="0.2">
      <c r="B94" s="2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20"/>
      <c r="U94" s="4"/>
      <c r="V94" s="4"/>
      <c r="W94" s="4"/>
      <c r="X94" s="4"/>
      <c r="Y94" s="4"/>
      <c r="Z94" s="22"/>
    </row>
    <row r="95" spans="2:26" x14ac:dyDescent="0.2">
      <c r="B95" s="2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20"/>
      <c r="U95" s="4"/>
      <c r="V95" s="4"/>
      <c r="W95" s="4"/>
      <c r="X95" s="4"/>
      <c r="Y95" s="4"/>
      <c r="Z95" s="22"/>
    </row>
    <row r="96" spans="2:26" x14ac:dyDescent="0.2">
      <c r="B96" s="2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20"/>
      <c r="U96" s="4"/>
      <c r="V96" s="4"/>
      <c r="W96" s="4"/>
      <c r="X96" s="4"/>
      <c r="Y96" s="4"/>
      <c r="Z96" s="22"/>
    </row>
    <row r="97" spans="2:26" x14ac:dyDescent="0.2">
      <c r="B97" s="21"/>
      <c r="C97" s="4"/>
      <c r="D97" s="4" t="s">
        <v>4</v>
      </c>
      <c r="E97" s="23"/>
      <c r="F97" s="23"/>
      <c r="G97" s="23"/>
      <c r="H97" s="23"/>
      <c r="I97" s="23"/>
      <c r="J97" s="23"/>
      <c r="K97" s="23"/>
      <c r="L97" s="23"/>
      <c r="M97" s="23"/>
      <c r="N97" s="65"/>
      <c r="O97" s="24"/>
      <c r="P97" s="24" t="s">
        <v>1</v>
      </c>
      <c r="Q97" s="65"/>
      <c r="R97" s="65"/>
      <c r="S97" s="65"/>
      <c r="T97" s="46"/>
      <c r="U97" s="23"/>
      <c r="V97" s="23"/>
      <c r="W97" s="23"/>
      <c r="X97" s="23"/>
      <c r="Y97" s="23"/>
      <c r="Z97" s="22"/>
    </row>
    <row r="98" spans="2:26" x14ac:dyDescent="0.2">
      <c r="B98" s="6"/>
      <c r="T98" s="16"/>
      <c r="Z98" s="5"/>
    </row>
    <row r="99" spans="2:26" x14ac:dyDescent="0.2">
      <c r="B99" s="6"/>
      <c r="T99" s="16"/>
      <c r="Z99" s="5"/>
    </row>
    <row r="100" spans="2:26" x14ac:dyDescent="0.2">
      <c r="B100" s="6"/>
      <c r="T100" s="16"/>
      <c r="Z100" s="5"/>
    </row>
    <row r="101" spans="2:26" ht="36.75" customHeight="1" x14ac:dyDescent="0.2">
      <c r="B101" s="6"/>
      <c r="T101" s="16"/>
      <c r="Z101" s="5"/>
    </row>
    <row r="102" spans="2:26" x14ac:dyDescent="0.2">
      <c r="B102" s="6"/>
      <c r="T102" s="16"/>
      <c r="Z102" s="5"/>
    </row>
    <row r="103" spans="2:26" x14ac:dyDescent="0.2">
      <c r="B103" s="6"/>
      <c r="T103" s="16"/>
      <c r="Z103" s="5"/>
    </row>
    <row r="104" spans="2:26" x14ac:dyDescent="0.2">
      <c r="B104" s="21"/>
      <c r="C104" s="4"/>
      <c r="D104" s="33" t="s">
        <v>102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20"/>
      <c r="U104" s="4"/>
      <c r="V104" s="4"/>
      <c r="W104" s="4"/>
      <c r="X104" s="4"/>
      <c r="Y104" s="4"/>
      <c r="Z104" s="22"/>
    </row>
    <row r="105" spans="2:26" x14ac:dyDescent="0.2">
      <c r="B105" s="2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20"/>
      <c r="U105" s="4"/>
      <c r="V105" s="4"/>
      <c r="W105" s="4"/>
      <c r="X105" s="4"/>
      <c r="Y105" s="4"/>
      <c r="Z105" s="22"/>
    </row>
    <row r="106" spans="2:26" x14ac:dyDescent="0.2">
      <c r="B106" s="2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20"/>
      <c r="U106" s="4"/>
      <c r="V106" s="4"/>
      <c r="W106" s="4"/>
      <c r="X106" s="4"/>
      <c r="Y106" s="4"/>
      <c r="Z106" s="22"/>
    </row>
    <row r="107" spans="2:26" s="4" customFormat="1" ht="20.25" customHeight="1" x14ac:dyDescent="0.25">
      <c r="B107" s="21"/>
      <c r="D107" s="4" t="s">
        <v>38</v>
      </c>
      <c r="E107" s="270" t="str">
        <f>(PROPER(CONCATENATE(N12," ",B12)))</f>
        <v>Cristian Omar Paliz Acosta</v>
      </c>
      <c r="F107" s="270"/>
      <c r="G107" s="270"/>
      <c r="H107" s="270"/>
      <c r="I107" s="270"/>
      <c r="J107" s="270"/>
      <c r="K107" s="270"/>
      <c r="L107" s="270"/>
      <c r="M107" s="270"/>
      <c r="N107" s="4" t="s">
        <v>103</v>
      </c>
      <c r="T107" s="83">
        <f>B16</f>
        <v>1719816611</v>
      </c>
      <c r="U107" s="83"/>
      <c r="V107" s="83"/>
      <c r="W107" s="83"/>
      <c r="X107" s="83"/>
      <c r="Y107" s="83"/>
      <c r="Z107" s="64"/>
    </row>
    <row r="108" spans="2:26" s="4" customFormat="1" ht="20.25" customHeight="1" x14ac:dyDescent="0.25">
      <c r="B108" s="21"/>
      <c r="D108" s="4" t="s">
        <v>32</v>
      </c>
      <c r="T108" s="20"/>
      <c r="Z108" s="22"/>
    </row>
    <row r="109" spans="2:26" x14ac:dyDescent="0.2">
      <c r="B109" s="2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20"/>
      <c r="U109" s="4"/>
      <c r="V109" s="4"/>
      <c r="W109" s="4"/>
      <c r="X109" s="4"/>
      <c r="Y109" s="4"/>
      <c r="Z109" s="22"/>
    </row>
    <row r="110" spans="2:26" ht="15" customHeight="1" x14ac:dyDescent="0.2">
      <c r="B110" s="21"/>
      <c r="C110" s="4"/>
      <c r="D110" s="4" t="s">
        <v>33</v>
      </c>
      <c r="E110" s="96" t="str">
        <f>+G42</f>
        <v>QUITO</v>
      </c>
      <c r="F110" s="96"/>
      <c r="G110" s="96"/>
      <c r="H110" s="96"/>
      <c r="I110" s="96"/>
      <c r="J110" s="96"/>
      <c r="K110" s="96"/>
      <c r="L110" s="96"/>
      <c r="M110" s="23"/>
      <c r="N110" s="4"/>
      <c r="O110" s="4"/>
      <c r="P110" s="4"/>
      <c r="Q110" s="4"/>
      <c r="R110" s="4"/>
      <c r="S110" s="4"/>
      <c r="T110" s="20"/>
      <c r="U110" s="4"/>
      <c r="V110" s="4"/>
      <c r="W110" s="4"/>
      <c r="X110" s="4"/>
      <c r="Y110" s="4"/>
      <c r="Z110" s="22"/>
    </row>
    <row r="111" spans="2:26" x14ac:dyDescent="0.2">
      <c r="B111" s="2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20"/>
      <c r="U111" s="4"/>
      <c r="V111" s="4"/>
      <c r="W111" s="4"/>
      <c r="X111" s="4"/>
      <c r="Y111" s="4"/>
      <c r="Z111" s="22"/>
    </row>
    <row r="112" spans="2:26" ht="15" customHeight="1" x14ac:dyDescent="0.2">
      <c r="B112" s="21"/>
      <c r="C112" s="4"/>
      <c r="D112" s="4" t="s">
        <v>3</v>
      </c>
      <c r="E112" s="254">
        <f>N16</f>
        <v>45170</v>
      </c>
      <c r="F112" s="254"/>
      <c r="G112" s="254"/>
      <c r="H112" s="254"/>
      <c r="I112" s="254"/>
      <c r="J112" s="254"/>
      <c r="K112" s="254"/>
      <c r="L112" s="254"/>
      <c r="M112" s="23"/>
      <c r="N112" s="4"/>
      <c r="O112" s="4"/>
      <c r="P112" s="4"/>
      <c r="Q112" s="4"/>
      <c r="R112" s="4"/>
      <c r="S112" s="4"/>
      <c r="T112" s="20"/>
      <c r="U112" s="4"/>
      <c r="V112" s="4"/>
      <c r="W112" s="4"/>
      <c r="X112" s="4"/>
      <c r="Y112" s="4"/>
      <c r="Z112" s="22"/>
    </row>
    <row r="113" spans="2:26" x14ac:dyDescent="0.2">
      <c r="B113" s="6"/>
      <c r="T113" s="16"/>
      <c r="Z113" s="5"/>
    </row>
    <row r="114" spans="2:26" x14ac:dyDescent="0.2">
      <c r="B114" s="6"/>
      <c r="T114" s="16"/>
      <c r="Z114" s="5"/>
    </row>
    <row r="115" spans="2:26" ht="27.75" customHeight="1" x14ac:dyDescent="0.2">
      <c r="B115" s="6"/>
      <c r="T115" s="16"/>
      <c r="Z115" s="5"/>
    </row>
    <row r="116" spans="2:26" x14ac:dyDescent="0.2">
      <c r="B116" s="6"/>
      <c r="T116" s="16"/>
      <c r="Z116" s="5"/>
    </row>
    <row r="117" spans="2:26" x14ac:dyDescent="0.2">
      <c r="B117" s="6"/>
      <c r="T117" s="16"/>
      <c r="Z117" s="5"/>
    </row>
    <row r="118" spans="2:26" x14ac:dyDescent="0.2">
      <c r="B118" s="6"/>
      <c r="D118" s="63" t="s">
        <v>27</v>
      </c>
      <c r="E118" s="3"/>
      <c r="F118" s="3"/>
      <c r="G118" s="3"/>
      <c r="H118" s="3"/>
      <c r="I118" s="3"/>
      <c r="J118" s="3"/>
      <c r="K118" s="3"/>
      <c r="L118" s="3"/>
      <c r="N118" s="63" t="s">
        <v>27</v>
      </c>
      <c r="O118" s="3"/>
      <c r="P118" s="3"/>
      <c r="Q118" s="3"/>
      <c r="R118" s="3"/>
      <c r="S118" s="3"/>
      <c r="T118" s="14"/>
      <c r="U118" s="3"/>
      <c r="V118" s="3"/>
      <c r="W118" s="3"/>
      <c r="X118" s="3"/>
      <c r="Y118" s="3"/>
      <c r="Z118" s="5"/>
    </row>
    <row r="119" spans="2:26" x14ac:dyDescent="0.2">
      <c r="B119" s="6"/>
      <c r="E119" s="82" t="str">
        <f>E107</f>
        <v>Cristian Omar Paliz Acosta</v>
      </c>
      <c r="F119" s="82"/>
      <c r="G119" s="82"/>
      <c r="H119" s="82"/>
      <c r="I119" s="82"/>
      <c r="J119" s="82"/>
      <c r="K119" s="82"/>
      <c r="L119" s="82"/>
      <c r="N119" s="76"/>
      <c r="O119" s="271" t="s">
        <v>137</v>
      </c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77"/>
    </row>
    <row r="120" spans="2:26" x14ac:dyDescent="0.2">
      <c r="B120" s="6"/>
      <c r="D120" s="4"/>
      <c r="E120" s="267" t="s">
        <v>60</v>
      </c>
      <c r="F120" s="267"/>
      <c r="G120" s="267"/>
      <c r="H120" s="267"/>
      <c r="I120" s="267"/>
      <c r="J120" s="267"/>
      <c r="K120" s="267"/>
      <c r="L120" s="267"/>
      <c r="M120" s="2"/>
      <c r="N120" s="258"/>
      <c r="O120" s="258"/>
      <c r="P120" s="258"/>
      <c r="Q120" s="258"/>
      <c r="R120" s="258"/>
      <c r="S120" s="258"/>
      <c r="T120" s="258"/>
      <c r="U120" s="258"/>
      <c r="V120" s="258"/>
      <c r="W120" s="258"/>
      <c r="X120" s="258"/>
      <c r="Y120" s="258"/>
      <c r="Z120" s="259"/>
    </row>
    <row r="121" spans="2:26" ht="15" thickBot="1" x14ac:dyDescent="0.25">
      <c r="B121" s="1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7"/>
      <c r="U121" s="7"/>
      <c r="V121" s="7"/>
      <c r="W121" s="7"/>
      <c r="X121" s="7"/>
      <c r="Y121" s="7"/>
      <c r="Z121" s="13"/>
    </row>
  </sheetData>
  <mergeCells count="103">
    <mergeCell ref="E110:L110"/>
    <mergeCell ref="E112:L112"/>
    <mergeCell ref="H79:N79"/>
    <mergeCell ref="T79:Y79"/>
    <mergeCell ref="I80:Y80"/>
    <mergeCell ref="N120:Z120"/>
    <mergeCell ref="T5:T6"/>
    <mergeCell ref="U5:Z6"/>
    <mergeCell ref="E120:L120"/>
    <mergeCell ref="K81:O81"/>
    <mergeCell ref="R81:Y81"/>
    <mergeCell ref="E107:M107"/>
    <mergeCell ref="E119:L119"/>
    <mergeCell ref="O119:Y119"/>
    <mergeCell ref="B53:Z53"/>
    <mergeCell ref="B54:Z54"/>
    <mergeCell ref="B55:M55"/>
    <mergeCell ref="N55:Z55"/>
    <mergeCell ref="B56:M56"/>
    <mergeCell ref="B57:D58"/>
    <mergeCell ref="E57:I58"/>
    <mergeCell ref="J57:J58"/>
    <mergeCell ref="K57:M58"/>
    <mergeCell ref="N58:Z58"/>
    <mergeCell ref="D45:M45"/>
    <mergeCell ref="O59:Y59"/>
    <mergeCell ref="T60:U61"/>
    <mergeCell ref="V60:Z61"/>
    <mergeCell ref="N60:S60"/>
    <mergeCell ref="N45:Z45"/>
    <mergeCell ref="N46:Z47"/>
    <mergeCell ref="N48:Z48"/>
    <mergeCell ref="N49:Z49"/>
    <mergeCell ref="B52:Z52"/>
    <mergeCell ref="N61:S61"/>
    <mergeCell ref="B59:D61"/>
    <mergeCell ref="E59:F61"/>
    <mergeCell ref="G59:M61"/>
    <mergeCell ref="B43:F43"/>
    <mergeCell ref="G43:M43"/>
    <mergeCell ref="N43:Q43"/>
    <mergeCell ref="R43:Z43"/>
    <mergeCell ref="B44:F44"/>
    <mergeCell ref="G44:M44"/>
    <mergeCell ref="N44:Q44"/>
    <mergeCell ref="R44:Z44"/>
    <mergeCell ref="T33:Z33"/>
    <mergeCell ref="U34:Z35"/>
    <mergeCell ref="B41:F41"/>
    <mergeCell ref="G41:M41"/>
    <mergeCell ref="N41:Q41"/>
    <mergeCell ref="R41:Z41"/>
    <mergeCell ref="B42:F42"/>
    <mergeCell ref="G42:M42"/>
    <mergeCell ref="N42:Q42"/>
    <mergeCell ref="R42:Z42"/>
    <mergeCell ref="B39:F39"/>
    <mergeCell ref="G39:M39"/>
    <mergeCell ref="N39:Q39"/>
    <mergeCell ref="R39:Z39"/>
    <mergeCell ref="B40:F40"/>
    <mergeCell ref="G40:M40"/>
    <mergeCell ref="N40:Q40"/>
    <mergeCell ref="R40:Z40"/>
    <mergeCell ref="T2:Z2"/>
    <mergeCell ref="E8:F8"/>
    <mergeCell ref="K8:M8"/>
    <mergeCell ref="S8:U8"/>
    <mergeCell ref="B21:D23"/>
    <mergeCell ref="E21:Z23"/>
    <mergeCell ref="B15:M15"/>
    <mergeCell ref="N15:Z15"/>
    <mergeCell ref="B16:M16"/>
    <mergeCell ref="N16:Z16"/>
    <mergeCell ref="B17:Z17"/>
    <mergeCell ref="B18:Z20"/>
    <mergeCell ref="T3:T4"/>
    <mergeCell ref="U3:Z4"/>
    <mergeCell ref="B5:S6"/>
    <mergeCell ref="AE42:AK42"/>
    <mergeCell ref="AE43:AK43"/>
    <mergeCell ref="T107:Y107"/>
    <mergeCell ref="E10:K10"/>
    <mergeCell ref="Q10:W10"/>
    <mergeCell ref="B12:M13"/>
    <mergeCell ref="N12:Z13"/>
    <mergeCell ref="B14:M14"/>
    <mergeCell ref="N14:Z14"/>
    <mergeCell ref="B24:E25"/>
    <mergeCell ref="F24:Z25"/>
    <mergeCell ref="B26:D28"/>
    <mergeCell ref="E26:Z28"/>
    <mergeCell ref="T36:Z36"/>
    <mergeCell ref="D37:M37"/>
    <mergeCell ref="N37:Z37"/>
    <mergeCell ref="B38:F38"/>
    <mergeCell ref="G38:M38"/>
    <mergeCell ref="N38:Q38"/>
    <mergeCell ref="R38:Z38"/>
    <mergeCell ref="B29:Z29"/>
    <mergeCell ref="T30:Z30"/>
    <mergeCell ref="T31:Z31"/>
    <mergeCell ref="T32:Z32"/>
  </mergeCells>
  <dataValidations count="1">
    <dataValidation type="list" allowBlank="1" showInputMessage="1" showErrorMessage="1" sqref="R42:Z42" xr:uid="{00000000-0002-0000-0000-000000000000}">
      <formula1>$J$3:$J$27</formula1>
    </dataValidation>
  </dataValidations>
  <pageMargins left="0.47244094488188981" right="0.35433070866141736" top="0.35433070866141736" bottom="0.28000000000000003" header="0.31496062992125984" footer="0.31496062992125984"/>
  <pageSetup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6</xdr:col>
                    <xdr:colOff>57150</xdr:colOff>
                    <xdr:row>6</xdr:row>
                    <xdr:rowOff>161925</xdr:rowOff>
                  </from>
                  <to>
                    <xdr:col>9</xdr:col>
                    <xdr:colOff>304800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12</xdr:col>
                    <xdr:colOff>762000</xdr:colOff>
                    <xdr:row>6</xdr:row>
                    <xdr:rowOff>180975</xdr:rowOff>
                  </from>
                  <to>
                    <xdr:col>16</xdr:col>
                    <xdr:colOff>266700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47625</xdr:colOff>
                    <xdr:row>6</xdr:row>
                    <xdr:rowOff>161925</xdr:rowOff>
                  </from>
                  <to>
                    <xdr:col>25</xdr:col>
                    <xdr:colOff>76200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5</xdr:col>
                    <xdr:colOff>114300</xdr:colOff>
                    <xdr:row>29</xdr:row>
                    <xdr:rowOff>9525</xdr:rowOff>
                  </from>
                  <to>
                    <xdr:col>7</xdr:col>
                    <xdr:colOff>19050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5</xdr:col>
                    <xdr:colOff>104775</xdr:colOff>
                    <xdr:row>30</xdr:row>
                    <xdr:rowOff>9525</xdr:rowOff>
                  </from>
                  <to>
                    <xdr:col>6</xdr:col>
                    <xdr:colOff>85725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5</xdr:col>
                    <xdr:colOff>114300</xdr:colOff>
                    <xdr:row>31</xdr:row>
                    <xdr:rowOff>9525</xdr:rowOff>
                  </from>
                  <to>
                    <xdr:col>7</xdr:col>
                    <xdr:colOff>9525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5</xdr:col>
                    <xdr:colOff>123825</xdr:colOff>
                    <xdr:row>32</xdr:row>
                    <xdr:rowOff>9525</xdr:rowOff>
                  </from>
                  <to>
                    <xdr:col>7</xdr:col>
                    <xdr:colOff>9525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5</xdr:col>
                    <xdr:colOff>123825</xdr:colOff>
                    <xdr:row>33</xdr:row>
                    <xdr:rowOff>9525</xdr:rowOff>
                  </from>
                  <to>
                    <xdr:col>7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5</xdr:col>
                    <xdr:colOff>123825</xdr:colOff>
                    <xdr:row>34</xdr:row>
                    <xdr:rowOff>0</xdr:rowOff>
                  </from>
                  <to>
                    <xdr:col>7</xdr:col>
                    <xdr:colOff>28575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11</xdr:col>
                    <xdr:colOff>28575</xdr:colOff>
                    <xdr:row>29</xdr:row>
                    <xdr:rowOff>19050</xdr:rowOff>
                  </from>
                  <to>
                    <xdr:col>13</xdr:col>
                    <xdr:colOff>76200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11</xdr:col>
                    <xdr:colOff>38100</xdr:colOff>
                    <xdr:row>30</xdr:row>
                    <xdr:rowOff>28575</xdr:rowOff>
                  </from>
                  <to>
                    <xdr:col>13</xdr:col>
                    <xdr:colOff>85725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11</xdr:col>
                    <xdr:colOff>38100</xdr:colOff>
                    <xdr:row>31</xdr:row>
                    <xdr:rowOff>9525</xdr:rowOff>
                  </from>
                  <to>
                    <xdr:col>13</xdr:col>
                    <xdr:colOff>85725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11</xdr:col>
                    <xdr:colOff>38100</xdr:colOff>
                    <xdr:row>32</xdr:row>
                    <xdr:rowOff>9525</xdr:rowOff>
                  </from>
                  <to>
                    <xdr:col>13</xdr:col>
                    <xdr:colOff>85725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11</xdr:col>
                    <xdr:colOff>38100</xdr:colOff>
                    <xdr:row>33</xdr:row>
                    <xdr:rowOff>9525</xdr:rowOff>
                  </from>
                  <to>
                    <xdr:col>13</xdr:col>
                    <xdr:colOff>66675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11</xdr:col>
                    <xdr:colOff>38100</xdr:colOff>
                    <xdr:row>33</xdr:row>
                    <xdr:rowOff>180975</xdr:rowOff>
                  </from>
                  <to>
                    <xdr:col>13</xdr:col>
                    <xdr:colOff>57150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16</xdr:col>
                    <xdr:colOff>323850</xdr:colOff>
                    <xdr:row>29</xdr:row>
                    <xdr:rowOff>9525</xdr:rowOff>
                  </from>
                  <to>
                    <xdr:col>18</xdr:col>
                    <xdr:colOff>190500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16</xdr:col>
                    <xdr:colOff>314325</xdr:colOff>
                    <xdr:row>30</xdr:row>
                    <xdr:rowOff>0</xdr:rowOff>
                  </from>
                  <to>
                    <xdr:col>18</xdr:col>
                    <xdr:colOff>190500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16</xdr:col>
                    <xdr:colOff>304800</xdr:colOff>
                    <xdr:row>30</xdr:row>
                    <xdr:rowOff>171450</xdr:rowOff>
                  </from>
                  <to>
                    <xdr:col>18</xdr:col>
                    <xdr:colOff>200025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16</xdr:col>
                    <xdr:colOff>314325</xdr:colOff>
                    <xdr:row>32</xdr:row>
                    <xdr:rowOff>9525</xdr:rowOff>
                  </from>
                  <to>
                    <xdr:col>18</xdr:col>
                    <xdr:colOff>190500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16</xdr:col>
                    <xdr:colOff>314325</xdr:colOff>
                    <xdr:row>33</xdr:row>
                    <xdr:rowOff>9525</xdr:rowOff>
                  </from>
                  <to>
                    <xdr:col>18</xdr:col>
                    <xdr:colOff>180975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16</xdr:col>
                    <xdr:colOff>314325</xdr:colOff>
                    <xdr:row>34</xdr:row>
                    <xdr:rowOff>0</xdr:rowOff>
                  </from>
                  <to>
                    <xdr:col>18</xdr:col>
                    <xdr:colOff>190500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21</xdr:col>
                    <xdr:colOff>257175</xdr:colOff>
                    <xdr:row>29</xdr:row>
                    <xdr:rowOff>9525</xdr:rowOff>
                  </from>
                  <to>
                    <xdr:col>24</xdr:col>
                    <xdr:colOff>200025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21</xdr:col>
                    <xdr:colOff>266700</xdr:colOff>
                    <xdr:row>29</xdr:row>
                    <xdr:rowOff>152400</xdr:rowOff>
                  </from>
                  <to>
                    <xdr:col>24</xdr:col>
                    <xdr:colOff>200025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21</xdr:col>
                    <xdr:colOff>276225</xdr:colOff>
                    <xdr:row>30</xdr:row>
                    <xdr:rowOff>152400</xdr:rowOff>
                  </from>
                  <to>
                    <xdr:col>24</xdr:col>
                    <xdr:colOff>200025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21</xdr:col>
                    <xdr:colOff>276225</xdr:colOff>
                    <xdr:row>31</xdr:row>
                    <xdr:rowOff>161925</xdr:rowOff>
                  </from>
                  <to>
                    <xdr:col>24</xdr:col>
                    <xdr:colOff>200025</xdr:colOff>
                    <xdr:row>33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DATA!$I$3:$I$4</xm:f>
          </x14:formula1>
          <xm:sqref>N40:Q40 B40:F40</xm:sqref>
        </x14:dataValidation>
        <x14:dataValidation type="list" allowBlank="1" showInputMessage="1" showErrorMessage="1" xr:uid="{00000000-0002-0000-0000-000002000000}">
          <x14:formula1>
            <xm:f>DATA!$F$3:$F$35</xm:f>
          </x14:formula1>
          <xm:sqref>R40:Z40</xm:sqref>
        </x14:dataValidation>
        <x14:dataValidation type="list" allowBlank="1" showInputMessage="1" showErrorMessage="1" xr:uid="{00000000-0002-0000-0000-000003000000}">
          <x14:formula1>
            <xm:f>DATA!$C$3:$C$27</xm:f>
          </x14:formula1>
          <xm:sqref>U34:Z35</xm:sqref>
        </x14:dataValidation>
        <x14:dataValidation type="list" allowBlank="1" showInputMessage="1" showErrorMessage="1" xr:uid="{00000000-0002-0000-0000-000004000000}">
          <x14:formula1>
            <xm:f>DATA!$B$3:$B$6</xm:f>
          </x14:formula1>
          <xm:sqref>N15:Z15</xm:sqref>
        </x14:dataValidation>
        <x14:dataValidation type="list" allowBlank="1" showInputMessage="1" showErrorMessage="1" xr:uid="{00000000-0002-0000-0000-000005000000}">
          <x14:formula1>
            <xm:f>DATA!$F$3:$F$34</xm:f>
          </x14:formula1>
          <xm:sqref>G40:M40</xm:sqref>
        </x14:dataValidation>
        <x14:dataValidation type="list" allowBlank="1" showInputMessage="1" showErrorMessage="1" xr:uid="{00000000-0002-0000-0000-000006000000}">
          <x14:formula1>
            <xm:f>DATA!$J$3:$J$27</xm:f>
          </x14:formula1>
          <xm:sqref>AE42:AK42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5"/>
  <sheetViews>
    <sheetView tabSelected="1" workbookViewId="0">
      <selection activeCell="D6" sqref="D6"/>
    </sheetView>
  </sheetViews>
  <sheetFormatPr baseColWidth="10" defaultRowHeight="15" x14ac:dyDescent="0.25"/>
  <cols>
    <col min="1" max="1" width="1.42578125" customWidth="1"/>
    <col min="2" max="2" width="8.42578125" customWidth="1"/>
    <col min="3" max="3" width="39" style="52" customWidth="1"/>
    <col min="4" max="4" width="46" customWidth="1"/>
    <col min="5" max="5" width="14.28515625" style="43" customWidth="1"/>
    <col min="6" max="6" width="21.42578125" customWidth="1"/>
    <col min="7" max="7" width="7.42578125" style="43" customWidth="1"/>
    <col min="8" max="8" width="9.7109375" customWidth="1"/>
    <col min="9" max="9" width="12.28515625" bestFit="1" customWidth="1"/>
    <col min="10" max="10" width="17.7109375" customWidth="1"/>
  </cols>
  <sheetData>
    <row r="1" spans="2:10" ht="8.25" customHeight="1" x14ac:dyDescent="0.25"/>
    <row r="2" spans="2:10" s="54" customFormat="1" ht="15.75" x14ac:dyDescent="0.25">
      <c r="B2" s="300"/>
      <c r="C2" s="53" t="s">
        <v>48</v>
      </c>
      <c r="D2" s="53" t="s">
        <v>47</v>
      </c>
      <c r="E2" s="300"/>
      <c r="F2" s="300"/>
      <c r="G2" s="300"/>
      <c r="H2" s="300"/>
      <c r="I2" s="300"/>
      <c r="J2" s="300"/>
    </row>
    <row r="3" spans="2:10" s="48" customFormat="1" ht="50.25" customHeight="1" x14ac:dyDescent="0.25">
      <c r="B3" s="302"/>
      <c r="C3" s="49" t="s">
        <v>67</v>
      </c>
      <c r="D3" s="49" t="s">
        <v>68</v>
      </c>
      <c r="E3" s="296"/>
      <c r="F3" s="297"/>
      <c r="G3" s="296"/>
      <c r="H3" s="296"/>
      <c r="I3" s="296"/>
      <c r="J3" s="296"/>
    </row>
    <row r="4" spans="2:10" s="48" customFormat="1" ht="50.25" customHeight="1" x14ac:dyDescent="0.25">
      <c r="B4" s="302"/>
      <c r="C4" s="49" t="s">
        <v>91</v>
      </c>
      <c r="D4" s="49" t="s">
        <v>116</v>
      </c>
      <c r="E4" s="296"/>
      <c r="F4" s="297"/>
      <c r="G4" s="296"/>
      <c r="H4" s="296"/>
      <c r="I4" s="296"/>
      <c r="J4" s="296"/>
    </row>
    <row r="5" spans="2:10" s="48" customFormat="1" ht="50.25" customHeight="1" x14ac:dyDescent="0.25">
      <c r="B5" s="301"/>
      <c r="C5" s="49" t="s">
        <v>90</v>
      </c>
      <c r="D5" s="49" t="s">
        <v>69</v>
      </c>
      <c r="E5" s="298"/>
      <c r="F5" s="297"/>
      <c r="G5" s="296"/>
      <c r="H5" s="296"/>
      <c r="I5" s="296"/>
      <c r="J5" s="296"/>
    </row>
    <row r="6" spans="2:10" s="48" customFormat="1" ht="50.25" customHeight="1" x14ac:dyDescent="0.25">
      <c r="B6" s="47"/>
      <c r="C6" s="49" t="s">
        <v>88</v>
      </c>
      <c r="D6" s="49" t="s">
        <v>70</v>
      </c>
      <c r="E6" s="296"/>
      <c r="F6" s="297"/>
      <c r="G6" s="296"/>
      <c r="H6" s="296"/>
      <c r="I6" s="296"/>
      <c r="J6" s="296"/>
    </row>
    <row r="7" spans="2:10" s="48" customFormat="1" ht="50.25" customHeight="1" x14ac:dyDescent="0.25">
      <c r="B7" s="47"/>
      <c r="C7" s="49" t="s">
        <v>89</v>
      </c>
      <c r="D7" s="49" t="s">
        <v>71</v>
      </c>
      <c r="E7" s="296"/>
      <c r="F7" s="297"/>
      <c r="G7" s="296"/>
      <c r="H7" s="296"/>
      <c r="I7" s="296"/>
      <c r="J7" s="296"/>
    </row>
    <row r="8" spans="2:10" s="48" customFormat="1" ht="50.25" customHeight="1" x14ac:dyDescent="0.25">
      <c r="B8" s="47"/>
      <c r="C8" s="49" t="s">
        <v>53</v>
      </c>
      <c r="D8" s="49" t="s">
        <v>72</v>
      </c>
      <c r="E8" s="296"/>
      <c r="F8" s="297"/>
      <c r="G8" s="296"/>
      <c r="H8" s="296"/>
      <c r="I8" s="296"/>
      <c r="J8" s="296"/>
    </row>
    <row r="9" spans="2:10" s="48" customFormat="1" ht="50.25" customHeight="1" x14ac:dyDescent="0.25">
      <c r="B9" s="47"/>
      <c r="C9" s="49" t="s">
        <v>49</v>
      </c>
      <c r="D9" s="49" t="s">
        <v>73</v>
      </c>
      <c r="E9" s="296"/>
      <c r="F9" s="297"/>
      <c r="G9" s="296"/>
      <c r="H9" s="296"/>
      <c r="I9" s="296"/>
      <c r="J9" s="296"/>
    </row>
    <row r="10" spans="2:10" s="48" customFormat="1" ht="50.25" customHeight="1" x14ac:dyDescent="0.25">
      <c r="B10" s="47"/>
      <c r="C10" s="49" t="s">
        <v>92</v>
      </c>
      <c r="D10" s="49" t="s">
        <v>74</v>
      </c>
      <c r="E10" s="296"/>
      <c r="F10" s="297"/>
      <c r="G10" s="296"/>
      <c r="H10" s="296"/>
      <c r="I10" s="296"/>
      <c r="J10" s="296"/>
    </row>
    <row r="11" spans="2:10" s="48" customFormat="1" ht="50.25" customHeight="1" x14ac:dyDescent="0.25">
      <c r="B11" s="47"/>
      <c r="C11" s="49" t="s">
        <v>50</v>
      </c>
      <c r="D11" s="49" t="s">
        <v>75</v>
      </c>
      <c r="E11" s="296"/>
      <c r="F11" s="297"/>
      <c r="G11" s="296"/>
      <c r="H11" s="296"/>
      <c r="I11" s="296"/>
      <c r="J11" s="296"/>
    </row>
    <row r="12" spans="2:10" s="48" customFormat="1" ht="50.25" customHeight="1" x14ac:dyDescent="0.25">
      <c r="B12" s="47"/>
      <c r="C12" s="49" t="s">
        <v>93</v>
      </c>
      <c r="D12" s="49" t="s">
        <v>74</v>
      </c>
      <c r="E12" s="296"/>
      <c r="F12" s="297"/>
      <c r="G12" s="296"/>
      <c r="H12" s="296"/>
      <c r="I12" s="296"/>
      <c r="J12" s="296"/>
    </row>
    <row r="13" spans="2:10" s="48" customFormat="1" ht="50.25" customHeight="1" x14ac:dyDescent="0.25">
      <c r="B13" s="47"/>
      <c r="C13" s="49" t="s">
        <v>94</v>
      </c>
      <c r="D13" s="49" t="s">
        <v>76</v>
      </c>
      <c r="E13" s="296"/>
      <c r="F13" s="297"/>
      <c r="G13" s="296"/>
      <c r="H13" s="296"/>
      <c r="I13" s="296"/>
      <c r="J13" s="296"/>
    </row>
    <row r="14" spans="2:10" s="48" customFormat="1" ht="50.25" customHeight="1" x14ac:dyDescent="0.25">
      <c r="B14" s="47"/>
      <c r="C14" s="49" t="s">
        <v>51</v>
      </c>
      <c r="D14" s="49" t="s">
        <v>77</v>
      </c>
      <c r="E14" s="296"/>
      <c r="F14" s="297"/>
      <c r="G14" s="296"/>
      <c r="H14" s="296"/>
      <c r="I14" s="296"/>
      <c r="J14" s="296"/>
    </row>
    <row r="15" spans="2:10" s="48" customFormat="1" ht="50.25" customHeight="1" x14ac:dyDescent="0.25">
      <c r="B15" s="47"/>
      <c r="C15" s="49" t="s">
        <v>19</v>
      </c>
      <c r="D15" s="49" t="s">
        <v>78</v>
      </c>
      <c r="E15" s="296"/>
      <c r="F15" s="297"/>
      <c r="G15" s="296"/>
      <c r="H15" s="296"/>
      <c r="I15" s="296"/>
      <c r="J15" s="296"/>
    </row>
    <row r="16" spans="2:10" s="48" customFormat="1" ht="50.25" customHeight="1" x14ac:dyDescent="0.25">
      <c r="B16" s="47"/>
      <c r="C16" s="49" t="s">
        <v>52</v>
      </c>
      <c r="D16" s="49" t="s">
        <v>79</v>
      </c>
      <c r="E16" s="296"/>
      <c r="F16" s="297"/>
      <c r="G16" s="296"/>
      <c r="H16" s="296"/>
      <c r="I16" s="296"/>
      <c r="J16" s="296"/>
    </row>
    <row r="17" spans="2:10" s="48" customFormat="1" ht="50.25" customHeight="1" x14ac:dyDescent="0.25">
      <c r="B17" s="47"/>
      <c r="C17" s="49" t="s">
        <v>11</v>
      </c>
      <c r="D17" s="49" t="s">
        <v>80</v>
      </c>
      <c r="E17" s="296"/>
      <c r="F17" s="297"/>
      <c r="G17" s="296"/>
      <c r="H17" s="296"/>
      <c r="I17" s="296"/>
      <c r="J17" s="296"/>
    </row>
    <row r="18" spans="2:10" s="48" customFormat="1" ht="50.25" customHeight="1" x14ac:dyDescent="0.25">
      <c r="B18" s="47"/>
      <c r="C18" s="49" t="s">
        <v>15</v>
      </c>
      <c r="D18" s="49" t="s">
        <v>81</v>
      </c>
      <c r="E18" s="296"/>
      <c r="F18" s="297"/>
      <c r="G18" s="296"/>
      <c r="H18" s="296"/>
      <c r="I18" s="296"/>
      <c r="J18" s="296"/>
    </row>
    <row r="19" spans="2:10" s="48" customFormat="1" ht="50.25" customHeight="1" x14ac:dyDescent="0.25">
      <c r="B19" s="47"/>
      <c r="C19" s="49" t="s">
        <v>95</v>
      </c>
      <c r="D19" s="49" t="s">
        <v>81</v>
      </c>
      <c r="E19" s="296"/>
      <c r="F19" s="297"/>
      <c r="G19" s="296"/>
      <c r="H19" s="296"/>
      <c r="I19" s="296"/>
      <c r="J19" s="296"/>
    </row>
    <row r="20" spans="2:10" s="48" customFormat="1" ht="50.25" customHeight="1" x14ac:dyDescent="0.25">
      <c r="B20" s="47"/>
      <c r="C20" s="49" t="s">
        <v>14</v>
      </c>
      <c r="D20" s="49" t="s">
        <v>82</v>
      </c>
      <c r="E20" s="296"/>
      <c r="F20" s="297"/>
      <c r="G20" s="296"/>
      <c r="H20" s="296"/>
      <c r="I20" s="296"/>
      <c r="J20" s="296"/>
    </row>
    <row r="21" spans="2:10" s="48" customFormat="1" ht="50.25" customHeight="1" x14ac:dyDescent="0.25">
      <c r="B21" s="47"/>
      <c r="C21" s="49" t="s">
        <v>56</v>
      </c>
      <c r="D21" s="49" t="s">
        <v>83</v>
      </c>
      <c r="E21" s="296"/>
      <c r="F21" s="297"/>
      <c r="G21" s="296"/>
      <c r="H21" s="296"/>
      <c r="I21" s="296"/>
      <c r="J21" s="296"/>
    </row>
    <row r="22" spans="2:10" s="48" customFormat="1" ht="50.25" customHeight="1" x14ac:dyDescent="0.25">
      <c r="B22" s="47"/>
      <c r="C22" s="49" t="s">
        <v>13</v>
      </c>
      <c r="D22" s="49" t="s">
        <v>84</v>
      </c>
      <c r="E22" s="296"/>
      <c r="F22" s="297"/>
      <c r="G22" s="296"/>
      <c r="H22" s="296"/>
      <c r="I22" s="296"/>
      <c r="J22" s="296"/>
    </row>
    <row r="23" spans="2:10" s="48" customFormat="1" ht="50.25" customHeight="1" x14ac:dyDescent="0.25">
      <c r="B23" s="47"/>
      <c r="C23" s="49" t="s">
        <v>54</v>
      </c>
      <c r="D23" s="49" t="s">
        <v>85</v>
      </c>
      <c r="E23" s="296"/>
      <c r="F23" s="299"/>
      <c r="G23" s="296"/>
      <c r="H23" s="296"/>
      <c r="I23" s="296"/>
      <c r="J23" s="296"/>
    </row>
    <row r="24" spans="2:10" s="48" customFormat="1" ht="50.25" customHeight="1" x14ac:dyDescent="0.25">
      <c r="B24" s="47"/>
      <c r="C24" s="49" t="s">
        <v>57</v>
      </c>
      <c r="D24" s="49" t="s">
        <v>86</v>
      </c>
      <c r="E24" s="296"/>
      <c r="F24" s="299"/>
      <c r="G24" s="296"/>
      <c r="H24" s="296"/>
      <c r="I24" s="296"/>
      <c r="J24" s="296"/>
    </row>
    <row r="25" spans="2:10" s="48" customFormat="1" ht="50.25" customHeight="1" x14ac:dyDescent="0.25">
      <c r="B25" s="47"/>
      <c r="C25" s="49" t="s">
        <v>58</v>
      </c>
      <c r="D25" s="49" t="s">
        <v>87</v>
      </c>
      <c r="E25" s="296"/>
      <c r="F25" s="299"/>
      <c r="G25" s="296"/>
      <c r="H25" s="296"/>
      <c r="I25" s="296"/>
      <c r="J25" s="296"/>
    </row>
    <row r="26" spans="2:10" s="48" customFormat="1" ht="50.25" customHeight="1" x14ac:dyDescent="0.25">
      <c r="B26" s="47"/>
      <c r="C26" s="49" t="s">
        <v>55</v>
      </c>
      <c r="D26" s="47"/>
      <c r="E26" s="296"/>
      <c r="F26" s="299"/>
      <c r="G26" s="296"/>
      <c r="H26" s="296"/>
      <c r="I26" s="296"/>
      <c r="J26" s="296"/>
    </row>
    <row r="27" spans="2:10" s="48" customFormat="1" ht="50.25" customHeight="1" x14ac:dyDescent="0.25">
      <c r="B27" s="296"/>
      <c r="C27" s="297"/>
      <c r="D27" s="296"/>
      <c r="E27" s="296"/>
      <c r="F27" s="299"/>
      <c r="G27" s="296"/>
      <c r="H27" s="296"/>
      <c r="I27" s="296"/>
      <c r="J27" s="296"/>
    </row>
    <row r="28" spans="2:10" s="48" customFormat="1" ht="50.25" customHeight="1" x14ac:dyDescent="0.25">
      <c r="B28" s="296"/>
      <c r="C28" s="297"/>
      <c r="D28" s="296"/>
      <c r="E28" s="296"/>
      <c r="F28" s="299"/>
      <c r="G28" s="296"/>
      <c r="H28" s="296"/>
      <c r="I28" s="296"/>
      <c r="J28" s="296"/>
    </row>
    <row r="29" spans="2:10" s="48" customFormat="1" ht="50.25" customHeight="1" x14ac:dyDescent="0.25">
      <c r="B29" s="296"/>
      <c r="C29" s="297"/>
      <c r="D29" s="296"/>
      <c r="E29" s="296"/>
      <c r="F29" s="299"/>
      <c r="G29" s="296"/>
      <c r="H29" s="296"/>
      <c r="I29" s="296"/>
      <c r="J29" s="296"/>
    </row>
    <row r="30" spans="2:10" s="48" customFormat="1" ht="50.25" customHeight="1" x14ac:dyDescent="0.25">
      <c r="B30" s="296"/>
      <c r="C30" s="297"/>
      <c r="D30" s="296"/>
      <c r="E30" s="296"/>
      <c r="F30" s="299"/>
      <c r="G30" s="296"/>
      <c r="H30" s="296"/>
      <c r="I30" s="296"/>
      <c r="J30" s="296"/>
    </row>
    <row r="31" spans="2:10" s="48" customFormat="1" ht="50.25" customHeight="1" x14ac:dyDescent="0.25">
      <c r="B31" s="296"/>
      <c r="C31" s="297"/>
      <c r="D31" s="296"/>
      <c r="E31" s="296"/>
      <c r="F31" s="299"/>
      <c r="G31" s="296"/>
      <c r="H31" s="296"/>
      <c r="I31" s="296"/>
      <c r="J31" s="296"/>
    </row>
    <row r="32" spans="2:10" s="48" customFormat="1" ht="50.25" customHeight="1" x14ac:dyDescent="0.25">
      <c r="B32" s="296"/>
      <c r="C32" s="297"/>
      <c r="D32" s="296"/>
      <c r="E32" s="296"/>
      <c r="F32" s="299"/>
      <c r="G32" s="296"/>
      <c r="H32" s="296"/>
      <c r="I32" s="296"/>
      <c r="J32" s="296"/>
    </row>
    <row r="33" spans="2:10" s="48" customFormat="1" ht="50.25" customHeight="1" x14ac:dyDescent="0.25">
      <c r="B33" s="296"/>
      <c r="C33" s="297"/>
      <c r="D33" s="296"/>
      <c r="E33" s="296"/>
      <c r="F33" s="299"/>
      <c r="G33" s="296"/>
      <c r="H33" s="296"/>
      <c r="I33" s="296"/>
      <c r="J33" s="296"/>
    </row>
    <row r="34" spans="2:10" s="48" customFormat="1" ht="50.25" customHeight="1" x14ac:dyDescent="0.25">
      <c r="B34" s="296"/>
      <c r="C34" s="297"/>
      <c r="D34" s="296"/>
      <c r="E34" s="296"/>
      <c r="F34" s="296"/>
      <c r="G34" s="296"/>
      <c r="H34" s="296"/>
      <c r="I34" s="296"/>
      <c r="J34" s="296"/>
    </row>
    <row r="35" spans="2:10" s="48" customFormat="1" ht="50.25" customHeight="1" x14ac:dyDescent="0.25">
      <c r="B35" s="296"/>
      <c r="C35" s="297"/>
      <c r="D35" s="296"/>
      <c r="E35" s="296"/>
      <c r="F35" s="296"/>
      <c r="G35" s="296"/>
      <c r="H35" s="296"/>
      <c r="I35" s="296"/>
      <c r="J35" s="2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ACCION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</dc:creator>
  <cp:lastModifiedBy>tecnologia pasantes</cp:lastModifiedBy>
  <cp:lastPrinted>2023-08-10T17:00:51Z</cp:lastPrinted>
  <dcterms:created xsi:type="dcterms:W3CDTF">2014-06-13T20:34:34Z</dcterms:created>
  <dcterms:modified xsi:type="dcterms:W3CDTF">2026-07-06T20:15:22Z</dcterms:modified>
</cp:coreProperties>
</file>